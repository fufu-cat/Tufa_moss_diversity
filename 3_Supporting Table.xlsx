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桌面\周园园博士资料\9 第一篇小论文（周博）\ZYY_Peer review_第一轮_2025422\Data visualization\"/>
    </mc:Choice>
  </mc:AlternateContent>
  <xr:revisionPtr revIDLastSave="0" documentId="13_ncr:1_{FAE62252-8958-439A-907A-DDF10BE73A93}" xr6:coauthVersionLast="47" xr6:coauthVersionMax="47" xr10:uidLastSave="{00000000-0000-0000-0000-000000000000}"/>
  <bookViews>
    <workbookView xWindow="-28920" yWindow="1035" windowWidth="29040" windowHeight="15720" xr2:uid="{00000000-000D-0000-FFFF-FFFF00000000}"/>
  </bookViews>
  <sheets>
    <sheet name="1. Tufa moss data" sheetId="2" r:id="rId1"/>
    <sheet name="2. Variables data" sheetId="4" r:id="rId2"/>
    <sheet name="3. Data description" sheetId="3" r:id="rId3"/>
    <sheet name="4. PCA result" sheetId="1" r:id="rId4"/>
    <sheet name="5. Figures 2a-s and Figure 4a" sheetId="10" r:id="rId5"/>
    <sheet name="6. Figure 3a_common species" sheetId="12" r:id="rId6"/>
    <sheet name="7. Figure 3b_indval species" sheetId="11" r:id="rId7"/>
    <sheet name="8. Figure 3c_shared species" sheetId="8" r:id="rId8"/>
    <sheet name="9. Figure 4b-c and Figure 5 " sheetId="17" r:id="rId9"/>
    <sheet name="10. Figure 6_SEM" sheetId="18" r:id="rId10"/>
    <sheet name="11. Figure 7a_NMDS" sheetId="13" r:id="rId11"/>
    <sheet name="12. Figure 7b_beta partition" sheetId="20" r:id="rId12"/>
    <sheet name="13. Figure7c-d_distance" sheetId="21" r:id="rId13"/>
    <sheet name="14. Figure 8a_Mantel test" sheetId="14" r:id="rId14"/>
    <sheet name="15. Figure 8b_RDA" sheetId="15" r:id="rId15"/>
    <sheet name="16. Figure 8c_VPA" sheetId="22" r:id="rId16"/>
  </sheets>
  <definedNames>
    <definedName name="_xlnm._FilterDatabase" localSheetId="0" hidden="1">'1. Tufa moss data'!$AI$1:$AI$51</definedName>
    <definedName name="_xlnm._FilterDatabase" localSheetId="4" hidden="1">'5. Figures 2a-s and Figure 4a'!$J$43:$J$47</definedName>
    <definedName name="_xlnm._FilterDatabase" localSheetId="5" hidden="1">'6. Figure 3a_common species'!$A$2:$C$33</definedName>
    <definedName name="_xlnm._FilterDatabase" localSheetId="6" hidden="1">'7. Figure 3b_indval species'!$D$1:$D$70</definedName>
    <definedName name="_Hlk172972830" localSheetId="2">'3. Data description'!$B$52</definedName>
    <definedName name="_Hlk172972908" localSheetId="2">'3. Data description'!$B$51</definedName>
    <definedName name="_Hlk172972917" localSheetId="2">'3. Data description'!$B$54</definedName>
    <definedName name="_Hlk172972925" localSheetId="2">'3. Data description'!$B$53</definedName>
    <definedName name="_Hlk172972934" localSheetId="2">'3. Data description'!$B$50</definedName>
    <definedName name="OLE_LINK20" localSheetId="2">'3. Data description'!$C$54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3" i="2" l="1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2" i="2"/>
  <c r="AH2" i="2" l="1"/>
  <c r="D10" i="12"/>
  <c r="D17" i="12"/>
  <c r="D24" i="12"/>
  <c r="D31" i="12"/>
  <c r="D3" i="12"/>
  <c r="D41" i="8"/>
  <c r="D38" i="8"/>
  <c r="D34" i="8"/>
  <c r="D24" i="8"/>
  <c r="D19" i="8"/>
  <c r="D16" i="8"/>
  <c r="D10" i="8"/>
  <c r="D2" i="8"/>
  <c r="AH30" i="2"/>
  <c r="AH3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1" i="2"/>
  <c r="AH32" i="2"/>
  <c r="AH33" i="2"/>
  <c r="AH35" i="2"/>
  <c r="AH34" i="2"/>
  <c r="AH36" i="2"/>
  <c r="AH37" i="2"/>
  <c r="AH38" i="2"/>
  <c r="AH39" i="2"/>
  <c r="AH40" i="2"/>
  <c r="AH41" i="2"/>
  <c r="AH42" i="2"/>
  <c r="AH4" i="2" l="1"/>
  <c r="I44" i="2"/>
  <c r="J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K44" i="2"/>
  <c r="L44" i="2"/>
  <c r="M44" i="2"/>
  <c r="N44" i="2"/>
  <c r="AC44" i="2"/>
  <c r="AD44" i="2"/>
  <c r="AE44" i="2"/>
  <c r="AF44" i="2"/>
  <c r="H44" i="2"/>
</calcChain>
</file>

<file path=xl/sharedStrings.xml><?xml version="1.0" encoding="utf-8"?>
<sst xmlns="http://schemas.openxmlformats.org/spreadsheetml/2006/main" count="2533" uniqueCount="1101">
  <si>
    <t>Species richness (sp.)</t>
    <phoneticPr fontId="1" type="noConversion"/>
  </si>
  <si>
    <t>Shannon-Wiener diversity index</t>
  </si>
  <si>
    <t xml:space="preserve">Simpson’s diversity index </t>
    <phoneticPr fontId="1" type="noConversion"/>
  </si>
  <si>
    <t>PC1</t>
    <phoneticPr fontId="1" type="noConversion"/>
  </si>
  <si>
    <t>0.99***</t>
    <phoneticPr fontId="1" type="noConversion"/>
  </si>
  <si>
    <t>Geospatial properties</t>
    <phoneticPr fontId="1" type="noConversion"/>
  </si>
  <si>
    <t>Altitude (m)</t>
    <phoneticPr fontId="1" type="noConversion"/>
  </si>
  <si>
    <t>Longitude</t>
    <phoneticPr fontId="1" type="noConversion"/>
  </si>
  <si>
    <t>Cumulative variance (%)</t>
    <phoneticPr fontId="1" type="noConversion"/>
  </si>
  <si>
    <t>Substrate organic carbon</t>
    <phoneticPr fontId="1" type="noConversion"/>
  </si>
  <si>
    <t xml:space="preserve">Substrate total nitrogen </t>
    <phoneticPr fontId="1" type="noConversion"/>
  </si>
  <si>
    <t>Substrate total phosphorus</t>
    <phoneticPr fontId="1" type="noConversion"/>
  </si>
  <si>
    <t>0.98***</t>
    <phoneticPr fontId="1" type="noConversion"/>
  </si>
  <si>
    <t>0.97***</t>
    <phoneticPr fontId="1" type="noConversion"/>
  </si>
  <si>
    <t>A</t>
  </si>
  <si>
    <t>B</t>
  </si>
  <si>
    <t>C</t>
  </si>
  <si>
    <t>D</t>
  </si>
  <si>
    <t>E</t>
  </si>
  <si>
    <t>Plots</t>
    <phoneticPr fontId="1" type="noConversion"/>
  </si>
  <si>
    <t>Sites</t>
    <phoneticPr fontId="1" type="noConversion"/>
  </si>
  <si>
    <t>Altitude</t>
    <phoneticPr fontId="1" type="noConversion"/>
  </si>
  <si>
    <t>Alt</t>
  </si>
  <si>
    <t>Abbreviation</t>
    <phoneticPr fontId="1" type="noConversion"/>
  </si>
  <si>
    <t>Lng</t>
    <phoneticPr fontId="1" type="noConversion"/>
  </si>
  <si>
    <t>Lat</t>
    <phoneticPr fontId="1" type="noConversion"/>
  </si>
  <si>
    <t>Temperature</t>
    <phoneticPr fontId="1" type="noConversion"/>
  </si>
  <si>
    <t>Temp</t>
    <phoneticPr fontId="1" type="noConversion"/>
  </si>
  <si>
    <t>Relative humidity</t>
    <phoneticPr fontId="1" type="noConversion"/>
  </si>
  <si>
    <t>%</t>
    <phoneticPr fontId="1" type="noConversion"/>
  </si>
  <si>
    <t>RH</t>
    <phoneticPr fontId="1" type="noConversion"/>
  </si>
  <si>
    <t>degree (°)</t>
    <phoneticPr fontId="1" type="noConversion"/>
  </si>
  <si>
    <t>meters (m)</t>
    <phoneticPr fontId="1" type="noConversion"/>
  </si>
  <si>
    <t>Fahrenheit (°F)</t>
    <phoneticPr fontId="1" type="noConversion"/>
  </si>
  <si>
    <t>pH</t>
    <phoneticPr fontId="1" type="noConversion"/>
  </si>
  <si>
    <t>Cond</t>
    <phoneticPr fontId="1" type="noConversion"/>
  </si>
  <si>
    <t>microSiemens per centimeter (μS/cm)</t>
    <phoneticPr fontId="1" type="noConversion"/>
  </si>
  <si>
    <t>OC</t>
  </si>
  <si>
    <t>TN</t>
    <phoneticPr fontId="1" type="noConversion"/>
  </si>
  <si>
    <t>TP</t>
    <phoneticPr fontId="1" type="noConversion"/>
  </si>
  <si>
    <t>MTC</t>
    <phoneticPr fontId="1" type="noConversion"/>
  </si>
  <si>
    <t>MTN</t>
    <phoneticPr fontId="1" type="noConversion"/>
  </si>
  <si>
    <t>MTP</t>
    <phoneticPr fontId="1" type="noConversion"/>
  </si>
  <si>
    <t>Chl_b</t>
    <phoneticPr fontId="1" type="noConversion"/>
  </si>
  <si>
    <t>Chl_a+b</t>
    <phoneticPr fontId="1" type="noConversion"/>
  </si>
  <si>
    <t>Chl_a:b</t>
    <phoneticPr fontId="1" type="noConversion"/>
  </si>
  <si>
    <t>MDA</t>
    <phoneticPr fontId="1" type="noConversion"/>
  </si>
  <si>
    <t>nanomoles per milliliter (nmol/ml)</t>
    <phoneticPr fontId="1" type="noConversion"/>
  </si>
  <si>
    <t>Total  soluble sugars</t>
    <phoneticPr fontId="1" type="noConversion"/>
  </si>
  <si>
    <t>TSS</t>
    <phoneticPr fontId="1" type="noConversion"/>
  </si>
  <si>
    <t>Full</t>
    <phoneticPr fontId="1" type="noConversion"/>
  </si>
  <si>
    <t>POD</t>
    <phoneticPr fontId="1" type="noConversion"/>
  </si>
  <si>
    <t>Superoxide dismutase</t>
    <phoneticPr fontId="1" type="noConversion"/>
  </si>
  <si>
    <t>SOD</t>
    <phoneticPr fontId="1" type="noConversion"/>
  </si>
  <si>
    <t>CAT</t>
    <phoneticPr fontId="1" type="noConversion"/>
  </si>
  <si>
    <t>Richness</t>
    <phoneticPr fontId="1" type="noConversion"/>
  </si>
  <si>
    <t>Species richness</t>
    <phoneticPr fontId="1" type="noConversion"/>
  </si>
  <si>
    <t>Species (sp.)</t>
    <phoneticPr fontId="1" type="noConversion"/>
  </si>
  <si>
    <t>Shannon</t>
  </si>
  <si>
    <t>Shannon-Wiener diversity</t>
    <phoneticPr fontId="1" type="noConversion"/>
  </si>
  <si>
    <t xml:space="preserve">Simpson’s Diversity </t>
    <phoneticPr fontId="1" type="noConversion"/>
  </si>
  <si>
    <t>Simpson</t>
  </si>
  <si>
    <t>milligrams per gram (mg/g)</t>
    <phoneticPr fontId="1" type="noConversion"/>
  </si>
  <si>
    <t>Geospatial factor properties</t>
    <phoneticPr fontId="1" type="noConversion"/>
  </si>
  <si>
    <t>Longitude (°)</t>
    <phoneticPr fontId="1" type="noConversion"/>
  </si>
  <si>
    <t>Latitude (°)</t>
    <phoneticPr fontId="1" type="noConversion"/>
  </si>
  <si>
    <t>Substrate total phosphorus (mg/g)</t>
    <phoneticPr fontId="1" type="noConversion"/>
  </si>
  <si>
    <t>Substrate total nitrogen (mg/g)</t>
    <phoneticPr fontId="1" type="noConversion"/>
  </si>
  <si>
    <t>Substrate organic carbon (mg/g)</t>
    <phoneticPr fontId="1" type="noConversion"/>
  </si>
  <si>
    <t>(1) Ditrichaceae</t>
    <phoneticPr fontId="2" type="noConversion"/>
  </si>
  <si>
    <t>(2) Dicranaceae</t>
    <phoneticPr fontId="2" type="noConversion"/>
  </si>
  <si>
    <t xml:space="preserve">(3) Pottiaceae </t>
    <phoneticPr fontId="2" type="noConversion"/>
  </si>
  <si>
    <t>(4) Bryaceae</t>
    <phoneticPr fontId="2" type="noConversion"/>
  </si>
  <si>
    <t>(5) Mniaceae</t>
    <phoneticPr fontId="2" type="noConversion"/>
  </si>
  <si>
    <t>(6) Thuidiaceae</t>
    <phoneticPr fontId="2" type="noConversion"/>
  </si>
  <si>
    <t>(7) Amblystegiaceae</t>
    <phoneticPr fontId="2" type="noConversion"/>
  </si>
  <si>
    <t xml:space="preserve">(8) Brachytheciaceae </t>
    <phoneticPr fontId="2" type="noConversion"/>
  </si>
  <si>
    <t xml:space="preserve">(9) Sematophyllaceae </t>
    <phoneticPr fontId="2" type="noConversion"/>
  </si>
  <si>
    <t>(10) Hypnaceae</t>
    <phoneticPr fontId="2" type="noConversion"/>
  </si>
  <si>
    <t>(1) Ditrichum</t>
    <phoneticPr fontId="2" type="noConversion"/>
  </si>
  <si>
    <t>(3) Dicranella</t>
    <phoneticPr fontId="2" type="noConversion"/>
  </si>
  <si>
    <t>(4) Dicranum</t>
    <phoneticPr fontId="2" type="noConversion"/>
  </si>
  <si>
    <t>(5) Campylopus</t>
    <phoneticPr fontId="2" type="noConversion"/>
  </si>
  <si>
    <t>(6) Anoectangium</t>
    <phoneticPr fontId="2" type="noConversion"/>
  </si>
  <si>
    <t>(7) Gymnostomum</t>
    <phoneticPr fontId="2" type="noConversion"/>
  </si>
  <si>
    <t xml:space="preserve">(8) Hymenostylium </t>
    <phoneticPr fontId="2" type="noConversion"/>
  </si>
  <si>
    <t>(9) Gyroweisia</t>
    <phoneticPr fontId="2" type="noConversion"/>
  </si>
  <si>
    <t>(10) Bryum</t>
    <phoneticPr fontId="2" type="noConversion"/>
  </si>
  <si>
    <t>(11) Mnium</t>
    <phoneticPr fontId="2" type="noConversion"/>
  </si>
  <si>
    <t>(12) Plagiomnium</t>
    <phoneticPr fontId="2" type="noConversion"/>
  </si>
  <si>
    <t>(13) Trachycystis</t>
    <phoneticPr fontId="2" type="noConversion"/>
  </si>
  <si>
    <t>(14) Leptopterigynandrum</t>
    <phoneticPr fontId="2" type="noConversion"/>
  </si>
  <si>
    <t>(15) Thuidium</t>
    <phoneticPr fontId="2" type="noConversion"/>
  </si>
  <si>
    <t>(16) Bryonoguchia</t>
    <phoneticPr fontId="2" type="noConversion"/>
  </si>
  <si>
    <t>(17) Cratoneuron</t>
    <phoneticPr fontId="2" type="noConversion"/>
  </si>
  <si>
    <t>Catalase</t>
    <phoneticPr fontId="1" type="noConversion"/>
  </si>
  <si>
    <t>micromoles per minute per gram (umoL/min/g)</t>
    <phoneticPr fontId="1" type="noConversion"/>
  </si>
  <si>
    <t>Species</t>
    <phoneticPr fontId="2" type="noConversion"/>
  </si>
  <si>
    <t>Family</t>
    <phoneticPr fontId="2" type="noConversion"/>
  </si>
  <si>
    <t>Genus</t>
    <phoneticPr fontId="2" type="noConversion"/>
  </si>
  <si>
    <t>Alt</t>
    <phoneticPr fontId="1" type="noConversion"/>
  </si>
  <si>
    <t>Malondialdehyde</t>
    <phoneticPr fontId="1" type="noConversion"/>
  </si>
  <si>
    <t>Units of enzyme activity per gram (u/g)</t>
    <phoneticPr fontId="1" type="noConversion"/>
  </si>
  <si>
    <t>Peroxidase</t>
    <phoneticPr fontId="1" type="noConversion"/>
  </si>
  <si>
    <t>0.93***</t>
    <phoneticPr fontId="1" type="noConversion"/>
  </si>
  <si>
    <t>MTP</t>
  </si>
  <si>
    <t>MDA</t>
  </si>
  <si>
    <t>TSS</t>
  </si>
  <si>
    <t>CAT</t>
  </si>
  <si>
    <t>SOD</t>
  </si>
  <si>
    <t>POD</t>
  </si>
  <si>
    <t>NMDS1</t>
    <phoneticPr fontId="1" type="noConversion"/>
  </si>
  <si>
    <t>0.87***</t>
    <phoneticPr fontId="1" type="noConversion"/>
  </si>
  <si>
    <t>0.96***</t>
    <phoneticPr fontId="1" type="noConversion"/>
  </si>
  <si>
    <t>0.85***</t>
    <phoneticPr fontId="1" type="noConversion"/>
  </si>
  <si>
    <t>- 0.94***</t>
    <phoneticPr fontId="1" type="noConversion"/>
  </si>
  <si>
    <t>Malondialdehyde (nmol/ml)</t>
    <phoneticPr fontId="1" type="noConversion"/>
  </si>
  <si>
    <t>Total  soluble sugars (mg/g)</t>
    <phoneticPr fontId="1" type="noConversion"/>
  </si>
  <si>
    <t>- 0.87***</t>
    <phoneticPr fontId="1" type="noConversion"/>
  </si>
  <si>
    <t>0.87**</t>
    <phoneticPr fontId="1" type="noConversion"/>
  </si>
  <si>
    <t>Peroxidase (u/g)</t>
    <phoneticPr fontId="1" type="noConversion"/>
  </si>
  <si>
    <t>Superoxide dismutase (u/g)</t>
    <phoneticPr fontId="1" type="noConversion"/>
  </si>
  <si>
    <t>Catalase (umoL/min/g)</t>
    <phoneticPr fontId="1" type="noConversion"/>
  </si>
  <si>
    <t>0.84***</t>
    <phoneticPr fontId="1" type="noConversion"/>
  </si>
  <si>
    <t>Total dominance index (%)</t>
    <phoneticPr fontId="2" type="noConversion"/>
  </si>
  <si>
    <t>Total frequency index (%)</t>
    <phoneticPr fontId="2" type="noConversion"/>
  </si>
  <si>
    <r>
      <t>(13) Gymnostomum anoectangioide</t>
    </r>
    <r>
      <rPr>
        <sz val="11"/>
        <rFont val="Arial"/>
        <family val="2"/>
      </rPr>
      <t xml:space="preserve"> (C. Muell) X.J. Li</t>
    </r>
    <phoneticPr fontId="2" type="noConversion"/>
  </si>
  <si>
    <t>(1) D. pusillum</t>
    <phoneticPr fontId="2" type="noConversion"/>
  </si>
  <si>
    <t>(2) D. brevidens</t>
    <phoneticPr fontId="2" type="noConversion"/>
  </si>
  <si>
    <t>(3) D. pallidum</t>
    <phoneticPr fontId="2" type="noConversion"/>
  </si>
  <si>
    <t>(4) D. capillaceum</t>
    <phoneticPr fontId="2" type="noConversion"/>
  </si>
  <si>
    <t xml:space="preserve">(5) D. heteromalla </t>
    <phoneticPr fontId="2" type="noConversion"/>
  </si>
  <si>
    <t>(6) D. varia</t>
    <phoneticPr fontId="2" type="noConversion"/>
  </si>
  <si>
    <t xml:space="preserve">(7) D. drummondii </t>
    <phoneticPr fontId="2" type="noConversion"/>
  </si>
  <si>
    <t xml:space="preserve">(8) D. fragilifolium </t>
    <phoneticPr fontId="2" type="noConversion"/>
  </si>
  <si>
    <t>(9) C. aureus</t>
    <phoneticPr fontId="2" type="noConversion"/>
  </si>
  <si>
    <t>(10) C. flexuosus</t>
    <phoneticPr fontId="2" type="noConversion"/>
  </si>
  <si>
    <t xml:space="preserve">(11) A. stracheyanum </t>
    <phoneticPr fontId="2" type="noConversion"/>
  </si>
  <si>
    <t>1. The table presents the relative abundance of moss species.</t>
    <phoneticPr fontId="2" type="noConversion"/>
  </si>
  <si>
    <t xml:space="preserve">(12) G. aurantiacum </t>
    <phoneticPr fontId="2" type="noConversion"/>
  </si>
  <si>
    <t>(13) G. anoectangioide</t>
    <phoneticPr fontId="2" type="noConversion"/>
  </si>
  <si>
    <t>(14) H. recurvirostrum</t>
    <phoneticPr fontId="2" type="noConversion"/>
  </si>
  <si>
    <t xml:space="preserve">(15) G. brevicaulis </t>
    <phoneticPr fontId="2" type="noConversion"/>
  </si>
  <si>
    <t>(16) G. yunnanensis</t>
    <phoneticPr fontId="2" type="noConversion"/>
  </si>
  <si>
    <t>(17) B. kashmirense</t>
    <phoneticPr fontId="2" type="noConversion"/>
  </si>
  <si>
    <t>(18) B. caespiticium</t>
    <phoneticPr fontId="2" type="noConversion"/>
  </si>
  <si>
    <t>(19) B. blindii</t>
    <phoneticPr fontId="2" type="noConversion"/>
  </si>
  <si>
    <t>(20) B. cellulare</t>
    <phoneticPr fontId="2" type="noConversion"/>
  </si>
  <si>
    <t>(21) B. bornholmense</t>
    <phoneticPr fontId="2" type="noConversion"/>
  </si>
  <si>
    <t>(22) B. handelii</t>
    <phoneticPr fontId="2" type="noConversion"/>
  </si>
  <si>
    <t>(23) B. pseudotriquetrum</t>
    <phoneticPr fontId="2" type="noConversion"/>
  </si>
  <si>
    <t>(24) M. thomsonii</t>
    <phoneticPr fontId="2" type="noConversion"/>
  </si>
  <si>
    <t>(25) P. rostratum</t>
    <phoneticPr fontId="2" type="noConversion"/>
  </si>
  <si>
    <t>(26) P. cuspidatum</t>
    <phoneticPr fontId="2" type="noConversion"/>
  </si>
  <si>
    <t>(27) T. ussuriensis</t>
    <phoneticPr fontId="2" type="noConversion"/>
  </si>
  <si>
    <t>(28) L. austroalpinum</t>
    <phoneticPr fontId="2" type="noConversion"/>
  </si>
  <si>
    <t>(29) T. delicatulum</t>
    <phoneticPr fontId="2" type="noConversion"/>
  </si>
  <si>
    <t>(30) T. cymbifolium</t>
    <phoneticPr fontId="2" type="noConversion"/>
  </si>
  <si>
    <t>(31) B. molkenboeri</t>
    <phoneticPr fontId="2" type="noConversion"/>
  </si>
  <si>
    <t xml:space="preserve">(32) C. filicinum </t>
    <phoneticPr fontId="2" type="noConversion"/>
  </si>
  <si>
    <t>Sites</t>
  </si>
  <si>
    <t>Plots</t>
  </si>
  <si>
    <t>Lng</t>
  </si>
  <si>
    <t>Lat</t>
  </si>
  <si>
    <t>Temp</t>
  </si>
  <si>
    <t>RH</t>
  </si>
  <si>
    <t>pH</t>
  </si>
  <si>
    <t>Cond</t>
  </si>
  <si>
    <t>TN</t>
  </si>
  <si>
    <t>TP</t>
  </si>
  <si>
    <t>MTC</t>
  </si>
  <si>
    <t>MTN</t>
  </si>
  <si>
    <t>Chl_a</t>
  </si>
  <si>
    <t>Chl_b</t>
  </si>
  <si>
    <t>Richness</t>
  </si>
  <si>
    <t>2. The codes preceding the moss family, genus, or species names facilitate rapid species identification.</t>
    <phoneticPr fontId="2" type="noConversion"/>
  </si>
  <si>
    <t>Latitude</t>
    <phoneticPr fontId="1" type="noConversion"/>
  </si>
  <si>
    <t>Life-forms</t>
    <phoneticPr fontId="2" type="noConversion"/>
  </si>
  <si>
    <t>ST</t>
    <phoneticPr fontId="2" type="noConversion"/>
  </si>
  <si>
    <t>TT</t>
    <phoneticPr fontId="2" type="noConversion"/>
  </si>
  <si>
    <t>W</t>
    <phoneticPr fontId="2" type="noConversion"/>
  </si>
  <si>
    <t>Phytogeographical elements</t>
    <phoneticPr fontId="2" type="noConversion"/>
  </si>
  <si>
    <t>North temperate zone</t>
    <phoneticPr fontId="2" type="noConversion"/>
  </si>
  <si>
    <t>Eastern Asia</t>
    <phoneticPr fontId="2" type="noConversion"/>
  </si>
  <si>
    <t>Eastern Asia and North America</t>
    <phoneticPr fontId="2" type="noConversion"/>
  </si>
  <si>
    <t>Tropical Asia</t>
    <phoneticPr fontId="2" type="noConversion"/>
  </si>
  <si>
    <t>Cosmopolitan</t>
    <phoneticPr fontId="2" type="noConversion"/>
  </si>
  <si>
    <t>Endemic to China</t>
    <phoneticPr fontId="2" type="noConversion"/>
  </si>
  <si>
    <t>D</t>
    <phoneticPr fontId="2" type="noConversion"/>
  </si>
  <si>
    <t>M</t>
    <phoneticPr fontId="2" type="noConversion"/>
  </si>
  <si>
    <t>P</t>
    <phoneticPr fontId="2" type="noConversion"/>
  </si>
  <si>
    <t>D/A</t>
    <phoneticPr fontId="2" type="noConversion"/>
  </si>
  <si>
    <t>3.  short turfs (ST), tall turfs (TT), wefts (W); dioecious (D), monoecious (M), paroecious (P), autoecious (A).</t>
    <phoneticPr fontId="2" type="noConversion"/>
  </si>
  <si>
    <t>(1)</t>
    <phoneticPr fontId="1" type="noConversion"/>
  </si>
  <si>
    <t>(3)</t>
  </si>
  <si>
    <t>2</t>
    <phoneticPr fontId="1" type="noConversion"/>
  </si>
  <si>
    <t>(5)</t>
    <phoneticPr fontId="1" type="noConversion"/>
  </si>
  <si>
    <t>(6)</t>
  </si>
  <si>
    <t>3</t>
    <phoneticPr fontId="1" type="noConversion"/>
  </si>
  <si>
    <t>(10)</t>
  </si>
  <si>
    <t>4</t>
    <phoneticPr fontId="1" type="noConversion"/>
  </si>
  <si>
    <t>(11)</t>
    <phoneticPr fontId="1" type="noConversion"/>
  </si>
  <si>
    <t>(12)</t>
  </si>
  <si>
    <t>(13)</t>
  </si>
  <si>
    <t>5</t>
    <phoneticPr fontId="1" type="noConversion"/>
  </si>
  <si>
    <t>(14)</t>
    <phoneticPr fontId="1" type="noConversion"/>
  </si>
  <si>
    <t>(15)</t>
  </si>
  <si>
    <t>(16)</t>
  </si>
  <si>
    <t>6</t>
    <phoneticPr fontId="1" type="noConversion"/>
  </si>
  <si>
    <t>(17)</t>
    <phoneticPr fontId="1" type="noConversion"/>
  </si>
  <si>
    <t>(18)</t>
  </si>
  <si>
    <t>7</t>
    <phoneticPr fontId="1" type="noConversion"/>
  </si>
  <si>
    <t>(21)</t>
  </si>
  <si>
    <t>A</t>
    <phoneticPr fontId="1" type="noConversion"/>
  </si>
  <si>
    <t>Chinese species name</t>
    <phoneticPr fontId="2" type="noConversion"/>
  </si>
  <si>
    <t>4. The fourth column incorporates the Chinese nomenclature for moss species, enhancing data accessibility for Chinese scholars.</t>
    <phoneticPr fontId="2" type="noConversion"/>
  </si>
  <si>
    <t xml:space="preserve"> </t>
    <phoneticPr fontId="2" type="noConversion"/>
  </si>
  <si>
    <t>Description</t>
    <phoneticPr fontId="1" type="noConversion"/>
  </si>
  <si>
    <t>Units (symbol)</t>
    <phoneticPr fontId="1" type="noConversion"/>
  </si>
  <si>
    <t>Diversity_PC1</t>
    <phoneticPr fontId="1" type="noConversion"/>
  </si>
  <si>
    <t>Geospatial_PC1</t>
    <phoneticPr fontId="1" type="noConversion"/>
  </si>
  <si>
    <t>Substrate_PC1</t>
    <phoneticPr fontId="1" type="noConversion"/>
  </si>
  <si>
    <t>Moss_PC1</t>
    <phoneticPr fontId="1" type="noConversion"/>
  </si>
  <si>
    <t xml:space="preserve">Photosynthetic_PC1 </t>
    <phoneticPr fontId="1" type="noConversion"/>
  </si>
  <si>
    <t>Osmolyte_PC1</t>
    <phoneticPr fontId="1" type="noConversion"/>
  </si>
  <si>
    <t>Enzyme_PC1</t>
    <phoneticPr fontId="1" type="noConversion"/>
  </si>
  <si>
    <t>Variable</t>
    <phoneticPr fontId="1" type="noConversion"/>
  </si>
  <si>
    <t>Water conductivity</t>
    <phoneticPr fontId="1" type="noConversion"/>
  </si>
  <si>
    <t>Water pH value</t>
    <phoneticPr fontId="1" type="noConversion"/>
  </si>
  <si>
    <t>PCA</t>
    <phoneticPr fontId="1" type="noConversion"/>
  </si>
  <si>
    <t>LSD</t>
    <phoneticPr fontId="1" type="noConversion"/>
  </si>
  <si>
    <t>SEM</t>
    <phoneticPr fontId="1" type="noConversion"/>
  </si>
  <si>
    <t>NMDS</t>
    <phoneticPr fontId="1" type="noConversion"/>
  </si>
  <si>
    <t>OLS</t>
    <phoneticPr fontId="1" type="noConversion"/>
  </si>
  <si>
    <t>Springheads tufa landscape</t>
  </si>
  <si>
    <t>Cascade tufa  landscape</t>
  </si>
  <si>
    <t>Cushion tufa landscape</t>
    <phoneticPr fontId="1" type="noConversion"/>
  </si>
  <si>
    <t>Rapids stream tufa landscape</t>
  </si>
  <si>
    <t>Rimstone dams tufa landsape</t>
  </si>
  <si>
    <t>AMOSIM</t>
    <phoneticPr fontId="1" type="noConversion"/>
  </si>
  <si>
    <t>VIF</t>
    <phoneticPr fontId="1" type="noConversion"/>
  </si>
  <si>
    <t>DCA</t>
    <phoneticPr fontId="1" type="noConversion"/>
  </si>
  <si>
    <t>VPA</t>
    <phoneticPr fontId="1" type="noConversion"/>
  </si>
  <si>
    <t>AICc</t>
    <phoneticPr fontId="1" type="noConversion"/>
  </si>
  <si>
    <t>AIC</t>
    <phoneticPr fontId="1" type="noConversion"/>
  </si>
  <si>
    <t>tb-RDA</t>
    <phoneticPr fontId="1" type="noConversion"/>
  </si>
  <si>
    <t>Transformation-based redundancy analysis</t>
  </si>
  <si>
    <t>(1) Categorical Variables</t>
    <phoneticPr fontId="1" type="noConversion"/>
  </si>
  <si>
    <t>(2) Geospatial factor properties</t>
    <phoneticPr fontId="1" type="noConversion"/>
  </si>
  <si>
    <t>(3) Meteorological conditions</t>
    <phoneticPr fontId="1" type="noConversion"/>
  </si>
  <si>
    <t>(4) Water quality properties</t>
    <phoneticPr fontId="1" type="noConversion"/>
  </si>
  <si>
    <t>Chl_a</t>
    <phoneticPr fontId="1" type="noConversion"/>
  </si>
  <si>
    <t>- 0.99***</t>
    <phoneticPr fontId="1" type="noConversion"/>
  </si>
  <si>
    <t>Reproductive system type</t>
    <phoneticPr fontId="2" type="noConversion"/>
  </si>
  <si>
    <t>Spr.-TL 1</t>
    <phoneticPr fontId="2" type="noConversion"/>
  </si>
  <si>
    <t>Spr.-TL 2</t>
  </si>
  <si>
    <t>Spr.-TL 3</t>
  </si>
  <si>
    <t>Spr.-TL 4</t>
  </si>
  <si>
    <t>Spr.-TL 5</t>
  </si>
  <si>
    <t>Cas.-TL 1</t>
    <phoneticPr fontId="2" type="noConversion"/>
  </si>
  <si>
    <t>Cas.-TL 2</t>
  </si>
  <si>
    <t>Cas.-TL 3</t>
  </si>
  <si>
    <t>Cas.-TL 4</t>
  </si>
  <si>
    <t>Cas.-TL 5</t>
  </si>
  <si>
    <t>Cus.-TL 1</t>
    <phoneticPr fontId="2" type="noConversion"/>
  </si>
  <si>
    <t>Cus.-TL 2</t>
  </si>
  <si>
    <t>Cus.-TL 3</t>
  </si>
  <si>
    <t>Cus.-TL 4</t>
  </si>
  <si>
    <t>Cus.-TL 5</t>
  </si>
  <si>
    <t>Rap.-TL 1</t>
    <phoneticPr fontId="2" type="noConversion"/>
  </si>
  <si>
    <t>Rap.-TL 2</t>
  </si>
  <si>
    <t>Rap.-TL 3</t>
  </si>
  <si>
    <t>Rap.-TL 4</t>
  </si>
  <si>
    <t>Rap.-TL 5</t>
  </si>
  <si>
    <t>Rim.-TL 1</t>
    <phoneticPr fontId="2" type="noConversion"/>
  </si>
  <si>
    <t>Rim.-TL 2</t>
  </si>
  <si>
    <t>Rim.-TL 3</t>
  </si>
  <si>
    <t>Rim.-TL 4</t>
  </si>
  <si>
    <t>Rim.-TL 5</t>
  </si>
  <si>
    <t>Chinese genus name</t>
    <phoneticPr fontId="2" type="noConversion"/>
  </si>
  <si>
    <t>Chinese family name</t>
  </si>
  <si>
    <t>5. Springheads tufa landscape (Spr.-TL); Cascade tufa  landscape (Cas.-TL); Cushion tufa landscape (Cus.-TL); Rapids stream tufa landscape (Rap.-TL);  Rimstone dams tufa landsape (Rim.-TL)</t>
    <phoneticPr fontId="2" type="noConversion"/>
  </si>
  <si>
    <t xml:space="preserve">Tufa landscape type </t>
    <phoneticPr fontId="1" type="noConversion"/>
  </si>
  <si>
    <t>A total of 25 sample sites (20*20 m) were set within the 5 tufa landscape types, and the analysis of moss diversity was based on the community level at the site scale.</t>
    <phoneticPr fontId="1" type="noConversion"/>
  </si>
  <si>
    <t>Five plots (1*1 m) were set within each site, and three sampling points (10*10 cm) were established in each plot, meaning that the moss community in each site is composed of 15 mixed samples.</t>
    <phoneticPr fontId="1" type="noConversion"/>
  </si>
  <si>
    <t>The longitude of each site was recorded using a handheld GPS device (Garmin 669s, USA).</t>
    <phoneticPr fontId="1" type="noConversion"/>
  </si>
  <si>
    <t>The latitude of each site was recorded using a handheld GPS device (Garmin 669s, USA).</t>
    <phoneticPr fontId="1" type="noConversion"/>
  </si>
  <si>
    <t>The altitude of each site was recorded using a handheld GPS device (Garmin 669s, USA).</t>
    <phoneticPr fontId="1" type="noConversion"/>
  </si>
  <si>
    <t>At each sampling point, air temperature was recorded using a handheld weather station (Kestrel NK4500, USA).</t>
    <phoneticPr fontId="1" type="noConversion"/>
  </si>
  <si>
    <t>At each sampling point, air relative humidity was recorded using a handheld weather station (Kestrel NK4500, USA).</t>
    <phoneticPr fontId="1" type="noConversion"/>
  </si>
  <si>
    <t>At each site, the pH of the stream was randomly measured five times using a portable water quality testing meter (Hanna HI98129, Italy).</t>
    <phoneticPr fontId="1" type="noConversion"/>
  </si>
  <si>
    <t>At each site, the electrical conductivity of the stream water was randomly measured five times using a portable water quality testing meter (Hanna HI98129, Italy).</t>
    <phoneticPr fontId="1" type="noConversion"/>
  </si>
  <si>
    <t>The organic carbon content of the air-dried moss petrification areas substrate was determined using potassium dichromate through the oxidation-external heating method.</t>
    <phoneticPr fontId="1" type="noConversion"/>
  </si>
  <si>
    <t>The total nitrogen content of the air-dried moss petrification areas substrate was determined using the Kjeldahl method.</t>
    <phoneticPr fontId="1" type="noConversion"/>
  </si>
  <si>
    <t>The total carbon content of plant material dried from the fresh moss green growth area was determined.</t>
  </si>
  <si>
    <t>The total nitrogen content of plant material dried from the fresh moss green growth area was determined.</t>
    <phoneticPr fontId="1" type="noConversion"/>
  </si>
  <si>
    <t>The total phosphorus content of plant material dried from the fresh moss green growth area was determined.</t>
    <phoneticPr fontId="1" type="noConversion"/>
  </si>
  <si>
    <t>Chlorophyll a was measured using a UV spectrophotometer at a wavelength of 663 nm.</t>
    <phoneticPr fontId="1" type="noConversion"/>
  </si>
  <si>
    <t>Chlorophyll b was measured using a UV spectrophotometer at a wavelength of 645 nm.</t>
    <phoneticPr fontId="1" type="noConversion"/>
  </si>
  <si>
    <t>The sum of chlorophyll a and b contents.</t>
    <phoneticPr fontId="1" type="noConversion"/>
  </si>
  <si>
    <t>MDA content in moss tissues was quantified using the thiobarbituric acid colorimetric method.</t>
    <phoneticPr fontId="1" type="noConversion"/>
  </si>
  <si>
    <t>TSS content was determined by the anthrone colorimetric method.</t>
    <phoneticPr fontId="1" type="noConversion"/>
  </si>
  <si>
    <t>POD activity was quantified using the guaiacol method.</t>
    <phoneticPr fontId="1" type="noConversion"/>
  </si>
  <si>
    <t>SOD activity was measured using the hydroxylamine method.</t>
    <phoneticPr fontId="1" type="noConversion"/>
  </si>
  <si>
    <t>CAT activity was assessed using the ammonium molybdate method.</t>
    <phoneticPr fontId="1" type="noConversion"/>
  </si>
  <si>
    <t>The ratio of chlorophyll a to b content.</t>
    <phoneticPr fontId="1" type="noConversion"/>
  </si>
  <si>
    <t>At each site, the number of species in the moss community.</t>
    <phoneticPr fontId="1" type="noConversion"/>
  </si>
  <si>
    <t>At each site, the Shannon diversity index of the moss community.</t>
    <phoneticPr fontId="1" type="noConversion"/>
  </si>
  <si>
    <t>At each site, the Simpson diversity index of the moss community.</t>
    <phoneticPr fontId="1" type="noConversion"/>
  </si>
  <si>
    <t>The first axis score of the NMDS analysis for the moss community.</t>
    <phoneticPr fontId="1" type="noConversion"/>
  </si>
  <si>
    <t>A principal component analysis was constructed Richness, Shannon, Simpson, and NMDS1, with the first principal component axis scores substituting for moss diversity attributes.</t>
    <phoneticPr fontId="1" type="noConversion"/>
  </si>
  <si>
    <t>A principal component analysis was constructed Lng, Lat, and Alt, with the first principal component axis scores substituting for geospatial factor properties.</t>
    <phoneticPr fontId="1" type="noConversion"/>
  </si>
  <si>
    <t>Moss diversity properties</t>
  </si>
  <si>
    <t>Moss diversity properties</t>
    <phoneticPr fontId="1" type="noConversion"/>
  </si>
  <si>
    <t>Moss total carbon</t>
  </si>
  <si>
    <t>Moss total nitrogen</t>
  </si>
  <si>
    <t>Moss total phosphorus</t>
  </si>
  <si>
    <t>Moss Chlorophyll a</t>
  </si>
  <si>
    <t xml:space="preserve">Moss Chlorophyll b </t>
  </si>
  <si>
    <t>Moss Chlorophyll content</t>
  </si>
  <si>
    <t>Moss Chlorophyll a to b ratio</t>
  </si>
  <si>
    <t>(8) Moss green tissue osmolyte content</t>
  </si>
  <si>
    <t>Moss substrate nutrient properties</t>
  </si>
  <si>
    <t>Moss green tissue nutrient properties</t>
    <phoneticPr fontId="1" type="noConversion"/>
  </si>
  <si>
    <t>A principal component analysis was constructed OC, TN, and TP, with the first principal component axis scores substituting for moss substrate nutrient properties.</t>
    <phoneticPr fontId="1" type="noConversion"/>
  </si>
  <si>
    <t>A principal component analysis was constructed MTC, MTN, and MTP, with the first principal component axis scores substituting for moss green tissue nutrient properties.</t>
    <phoneticPr fontId="1" type="noConversion"/>
  </si>
  <si>
    <t>Moss photosynthetic properties</t>
    <phoneticPr fontId="1" type="noConversion"/>
  </si>
  <si>
    <t>Moss green tissue nutrients properties</t>
  </si>
  <si>
    <t>Moss total carbon (mg/g)</t>
  </si>
  <si>
    <t>Moss total nitrogen (mg/g)</t>
  </si>
  <si>
    <t>Moss total phosphorus (mg/g)</t>
  </si>
  <si>
    <t>Moss photosynthesis properties</t>
  </si>
  <si>
    <t>Moss Chlorophyll-a (mg/g)</t>
  </si>
  <si>
    <t>Moss Chlorophyll-b (mg/g)</t>
  </si>
  <si>
    <t>Moss osmotic regulatory substance properties</t>
  </si>
  <si>
    <t>A principal component analysis was constructed Chl_a, Chl_b, and Chl_a:b, with the first principal component axis scores substituting for moss photosynthetic properties.</t>
    <phoneticPr fontId="1" type="noConversion"/>
  </si>
  <si>
    <t>Moss osmolyte properties</t>
    <phoneticPr fontId="1" type="noConversion"/>
  </si>
  <si>
    <t>A principal component analysis was constructed TSS, and MDA, with the first principal component axis scores substituting for moss osmolyte properties.</t>
    <phoneticPr fontId="1" type="noConversion"/>
  </si>
  <si>
    <t>Moss antioxidant enzyme activity</t>
    <phoneticPr fontId="1" type="noConversion"/>
  </si>
  <si>
    <t>A principal component analysis was constructed POD, SOD, and CAT, with the first principal component axis scores substituting for moss antioxidant enzyme activity.</t>
    <phoneticPr fontId="1" type="noConversion"/>
  </si>
  <si>
    <t>Ordinary least squares regression</t>
    <phoneticPr fontId="1" type="noConversion"/>
  </si>
  <si>
    <t>Non-metric multidimensional scaling</t>
    <phoneticPr fontId="1" type="noConversion"/>
  </si>
  <si>
    <t xml:space="preserve">Fisher’s least significant difference method </t>
    <phoneticPr fontId="1" type="noConversion"/>
  </si>
  <si>
    <t>Analysis of similarities</t>
    <phoneticPr fontId="1" type="noConversion"/>
  </si>
  <si>
    <t>Principal component analysis</t>
    <phoneticPr fontId="1" type="noConversion"/>
  </si>
  <si>
    <t>Detrended correspondence analysis</t>
    <phoneticPr fontId="1" type="noConversion"/>
  </si>
  <si>
    <t>Variance partitioning analysis</t>
    <phoneticPr fontId="1" type="noConversion"/>
  </si>
  <si>
    <t>Variance inflation factor</t>
    <phoneticPr fontId="1" type="noConversion"/>
  </si>
  <si>
    <t>Akaike information criterion corrected for small sample sizes</t>
    <phoneticPr fontId="1" type="noConversion"/>
  </si>
  <si>
    <t>Akaike information criterion</t>
    <phoneticPr fontId="1" type="noConversion"/>
  </si>
  <si>
    <t>Piecewise structural equation model</t>
    <phoneticPr fontId="1" type="noConversion"/>
  </si>
  <si>
    <t>(10) Moss diversity properties</t>
    <phoneticPr fontId="1" type="noConversion"/>
  </si>
  <si>
    <t>YTT</t>
    <phoneticPr fontId="1" type="noConversion"/>
  </si>
  <si>
    <t>Yanlonggou Tufa Terrace</t>
    <phoneticPr fontId="1" type="noConversion"/>
  </si>
  <si>
    <t xml:space="preserve">(12) Statistical method
</t>
    <phoneticPr fontId="1" type="noConversion"/>
  </si>
  <si>
    <t>(11) Principal component variables</t>
    <phoneticPr fontId="1" type="noConversion"/>
  </si>
  <si>
    <r>
      <t>The total phosphorus content of the air-dried moss petrificationareas substrate was determined colorimetrically after digestion with H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SO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 xml:space="preserve"> and HClO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.</t>
    </r>
    <phoneticPr fontId="1" type="noConversion"/>
  </si>
  <si>
    <t>The correlation analysis between the first principal component axis and the variable.</t>
  </si>
  <si>
    <t>1)牛毛藓属</t>
  </si>
  <si>
    <t>2)对叶藓属</t>
  </si>
  <si>
    <t>3)小曲尾藓属</t>
    <phoneticPr fontId="2" type="noConversion"/>
  </si>
  <si>
    <t>4)曲尾藓属</t>
    <phoneticPr fontId="2" type="noConversion"/>
  </si>
  <si>
    <t>5)曲柄藓属</t>
    <phoneticPr fontId="2" type="noConversion"/>
  </si>
  <si>
    <t>6)丛本藓属</t>
    <phoneticPr fontId="2" type="noConversion"/>
  </si>
  <si>
    <t>7)净口藓属</t>
    <phoneticPr fontId="2" type="noConversion"/>
  </si>
  <si>
    <t>8)立膜藓属</t>
    <phoneticPr fontId="2" type="noConversion"/>
  </si>
  <si>
    <t>9)圆口藓属</t>
    <phoneticPr fontId="2" type="noConversion"/>
  </si>
  <si>
    <t>10)真藓属</t>
    <phoneticPr fontId="2" type="noConversion"/>
  </si>
  <si>
    <t>11)提灯藓属</t>
    <phoneticPr fontId="2" type="noConversion"/>
  </si>
  <si>
    <t>12)匍灯藓属</t>
    <phoneticPr fontId="2" type="noConversion"/>
  </si>
  <si>
    <t>13)疣灯藓属</t>
    <phoneticPr fontId="2" type="noConversion"/>
  </si>
  <si>
    <t>14)叉羽藓属</t>
    <phoneticPr fontId="2" type="noConversion"/>
  </si>
  <si>
    <t>15)羽藓属</t>
    <phoneticPr fontId="2" type="noConversion"/>
  </si>
  <si>
    <t>16)毛羽藓属</t>
    <phoneticPr fontId="2" type="noConversion"/>
  </si>
  <si>
    <t>17)牛角藓属</t>
    <phoneticPr fontId="2" type="noConversion"/>
  </si>
  <si>
    <t>4) 真藓科</t>
    <phoneticPr fontId="2" type="noConversion"/>
  </si>
  <si>
    <t>Spr.-TL</t>
    <phoneticPr fontId="1" type="noConversion"/>
  </si>
  <si>
    <t>Cas.-TL</t>
    <phoneticPr fontId="1" type="noConversion"/>
  </si>
  <si>
    <t>Cus.-TL</t>
    <phoneticPr fontId="1" type="noConversion"/>
  </si>
  <si>
    <t>Rap.-TL</t>
    <phoneticPr fontId="1" type="noConversion"/>
  </si>
  <si>
    <t>Rim.-TL</t>
    <phoneticPr fontId="1" type="noConversion"/>
  </si>
  <si>
    <t>(13) Tufa landscape type</t>
    <phoneticPr fontId="1" type="noConversion"/>
  </si>
  <si>
    <t>(5) Moss substrate nutrient properties</t>
    <phoneticPr fontId="1" type="noConversion"/>
  </si>
  <si>
    <t>(6) Moss green tissue nutrient content</t>
    <phoneticPr fontId="1" type="noConversion"/>
  </si>
  <si>
    <t>(7) Moss green tissue photosynthetic content</t>
    <phoneticPr fontId="1" type="noConversion"/>
  </si>
  <si>
    <t>(9) Moss green tissue antioxidant enzyme activity</t>
    <phoneticPr fontId="1" type="noConversion"/>
  </si>
  <si>
    <t>Shannon</t>
    <phoneticPr fontId="1" type="noConversion"/>
  </si>
  <si>
    <t>Simpson</t>
    <phoneticPr fontId="1" type="noConversion"/>
  </si>
  <si>
    <r>
      <t>(41)</t>
    </r>
    <r>
      <rPr>
        <i/>
        <sz val="12"/>
        <color indexed="8"/>
        <rFont val="楷体"/>
        <family val="3"/>
        <charset val="134"/>
      </rPr>
      <t>弯叶灰藓</t>
    </r>
    <phoneticPr fontId="2" type="noConversion"/>
  </si>
  <si>
    <t>18)镰刀藓属</t>
    <phoneticPr fontId="2" type="noConversion"/>
  </si>
  <si>
    <t>19)青藓属</t>
    <phoneticPr fontId="2" type="noConversion"/>
  </si>
  <si>
    <t>20)毛尖藓属</t>
    <phoneticPr fontId="2" type="noConversion"/>
  </si>
  <si>
    <t>21)锦藓属</t>
    <phoneticPr fontId="2" type="noConversion"/>
  </si>
  <si>
    <t>22)小锦藓属</t>
    <phoneticPr fontId="2" type="noConversion"/>
  </si>
  <si>
    <t>23)灰藓属</t>
    <phoneticPr fontId="2" type="noConversion"/>
  </si>
  <si>
    <t>1)牛毛藓科</t>
    <phoneticPr fontId="2" type="noConversion"/>
  </si>
  <si>
    <t>2)曲尾藓科</t>
    <phoneticPr fontId="2" type="noConversion"/>
  </si>
  <si>
    <t>3)丛藓科</t>
    <phoneticPr fontId="2" type="noConversion"/>
  </si>
  <si>
    <t>5)提灯藓科</t>
    <phoneticPr fontId="2" type="noConversion"/>
  </si>
  <si>
    <t>6)羽藓科</t>
    <phoneticPr fontId="2" type="noConversion"/>
  </si>
  <si>
    <t>7)柳叶藓科</t>
    <phoneticPr fontId="2" type="noConversion"/>
  </si>
  <si>
    <t>8)青藓科</t>
    <phoneticPr fontId="2" type="noConversion"/>
  </si>
  <si>
    <t>9)锦藓科</t>
    <phoneticPr fontId="2" type="noConversion"/>
  </si>
  <si>
    <t>10)灰藓科</t>
    <phoneticPr fontId="2" type="noConversion"/>
  </si>
  <si>
    <r>
      <t>(1) Ditrichum pusillum</t>
    </r>
    <r>
      <rPr>
        <sz val="11"/>
        <rFont val="Arial"/>
        <family val="2"/>
      </rPr>
      <t xml:space="preserve"> (Hedw.) Hampe</t>
    </r>
    <phoneticPr fontId="2" type="noConversion"/>
  </si>
  <si>
    <r>
      <t>(1)</t>
    </r>
    <r>
      <rPr>
        <i/>
        <sz val="12"/>
        <rFont val="楷体"/>
        <family val="3"/>
        <charset val="134"/>
      </rPr>
      <t>细叶牛毛藓</t>
    </r>
    <phoneticPr fontId="2" type="noConversion"/>
  </si>
  <si>
    <r>
      <t>(2) Ditrichum brevidens</t>
    </r>
    <r>
      <rPr>
        <sz val="11"/>
        <rFont val="Arial"/>
        <family val="2"/>
      </rPr>
      <t xml:space="preserve"> Nog.</t>
    </r>
    <phoneticPr fontId="2" type="noConversion"/>
  </si>
  <si>
    <r>
      <t>(2)</t>
    </r>
    <r>
      <rPr>
        <i/>
        <sz val="12"/>
        <rFont val="楷体"/>
        <family val="3"/>
        <charset val="134"/>
      </rPr>
      <t>短齿牛毛藓</t>
    </r>
    <phoneticPr fontId="2" type="noConversion"/>
  </si>
  <si>
    <r>
      <t>(3) Ditrichum pallidum</t>
    </r>
    <r>
      <rPr>
        <sz val="11"/>
        <rFont val="Arial"/>
        <family val="2"/>
      </rPr>
      <t xml:space="preserve"> (Hedw.) Hampe</t>
    </r>
    <phoneticPr fontId="2" type="noConversion"/>
  </si>
  <si>
    <r>
      <t>(3)</t>
    </r>
    <r>
      <rPr>
        <i/>
        <sz val="12"/>
        <rFont val="楷体"/>
        <family val="3"/>
        <charset val="134"/>
      </rPr>
      <t>黄牛毛藓</t>
    </r>
    <phoneticPr fontId="2" type="noConversion"/>
  </si>
  <si>
    <r>
      <t>(4) Distichium capillaceum</t>
    </r>
    <r>
      <rPr>
        <sz val="11"/>
        <rFont val="Arial"/>
        <family val="2"/>
      </rPr>
      <t xml:space="preserve"> (Hedw.) B.S.G.</t>
    </r>
    <phoneticPr fontId="2" type="noConversion"/>
  </si>
  <si>
    <r>
      <t>(4)</t>
    </r>
    <r>
      <rPr>
        <i/>
        <sz val="12"/>
        <rFont val="楷体"/>
        <family val="3"/>
        <charset val="134"/>
      </rPr>
      <t>对叶藓</t>
    </r>
    <phoneticPr fontId="2" type="noConversion"/>
  </si>
  <si>
    <r>
      <t>(5) Dicranella heteromalla</t>
    </r>
    <r>
      <rPr>
        <sz val="11"/>
        <rFont val="Arial"/>
        <family val="2"/>
      </rPr>
      <t xml:space="preserve"> (Hedw.) Schimp.</t>
    </r>
    <phoneticPr fontId="2" type="noConversion"/>
  </si>
  <si>
    <r>
      <t>(5)</t>
    </r>
    <r>
      <rPr>
        <i/>
        <sz val="12"/>
        <rFont val="楷体"/>
        <family val="3"/>
        <charset val="134"/>
      </rPr>
      <t>多形小曲尾藓</t>
    </r>
    <phoneticPr fontId="2" type="noConversion"/>
  </si>
  <si>
    <r>
      <t>(6) Dicranella varia</t>
    </r>
    <r>
      <rPr>
        <sz val="11"/>
        <rFont val="Arial"/>
        <family val="2"/>
      </rPr>
      <t xml:space="preserve"> (Hedw.) Scimp.</t>
    </r>
    <phoneticPr fontId="2" type="noConversion"/>
  </si>
  <si>
    <r>
      <t>(6)</t>
    </r>
    <r>
      <rPr>
        <i/>
        <sz val="12"/>
        <rFont val="楷体"/>
        <family val="3"/>
        <charset val="134"/>
      </rPr>
      <t>变形小曲尾藓</t>
    </r>
    <phoneticPr fontId="2" type="noConversion"/>
  </si>
  <si>
    <r>
      <t xml:space="preserve">(7) Dicranum drummondii </t>
    </r>
    <r>
      <rPr>
        <sz val="11"/>
        <rFont val="Arial"/>
        <family val="2"/>
      </rPr>
      <t>C. Muell.</t>
    </r>
    <phoneticPr fontId="2" type="noConversion"/>
  </si>
  <si>
    <r>
      <t>(7)</t>
    </r>
    <r>
      <rPr>
        <i/>
        <sz val="12"/>
        <rFont val="楷体"/>
        <family val="3"/>
        <charset val="134"/>
      </rPr>
      <t>大曲尾藓</t>
    </r>
    <phoneticPr fontId="2" type="noConversion"/>
  </si>
  <si>
    <r>
      <t>(8) Dicranum fragilifolium</t>
    </r>
    <r>
      <rPr>
        <sz val="11"/>
        <rFont val="Arial"/>
        <family val="2"/>
      </rPr>
      <t xml:space="preserve"> Lindb.</t>
    </r>
    <phoneticPr fontId="2" type="noConversion"/>
  </si>
  <si>
    <r>
      <t>(8)</t>
    </r>
    <r>
      <rPr>
        <i/>
        <sz val="12"/>
        <rFont val="楷体"/>
        <family val="3"/>
        <charset val="134"/>
      </rPr>
      <t>折叶曲尾藓</t>
    </r>
    <phoneticPr fontId="2" type="noConversion"/>
  </si>
  <si>
    <r>
      <t>(9) Campylopus aureus</t>
    </r>
    <r>
      <rPr>
        <sz val="11"/>
        <rFont val="Arial"/>
        <family val="2"/>
      </rPr>
      <t xml:space="preserve"> Bosch &amp; Sande Lac.</t>
    </r>
    <phoneticPr fontId="2" type="noConversion"/>
  </si>
  <si>
    <r>
      <t>(9)</t>
    </r>
    <r>
      <rPr>
        <i/>
        <sz val="12"/>
        <rFont val="楷体"/>
        <family val="3"/>
        <charset val="134"/>
      </rPr>
      <t>黄曲柄藓</t>
    </r>
    <phoneticPr fontId="2" type="noConversion"/>
  </si>
  <si>
    <r>
      <t>(10) Campylopus flexuosus</t>
    </r>
    <r>
      <rPr>
        <sz val="11"/>
        <rFont val="Arial"/>
        <family val="2"/>
      </rPr>
      <t xml:space="preserve"> (Hedw.) Brid.</t>
    </r>
    <phoneticPr fontId="2" type="noConversion"/>
  </si>
  <si>
    <r>
      <t>(10)</t>
    </r>
    <r>
      <rPr>
        <i/>
        <sz val="12"/>
        <rFont val="楷体"/>
        <family val="3"/>
        <charset val="134"/>
      </rPr>
      <t>曲柄藓</t>
    </r>
    <phoneticPr fontId="2" type="noConversion"/>
  </si>
  <si>
    <r>
      <t xml:space="preserve">(11) Anoectangium stracheyanum </t>
    </r>
    <r>
      <rPr>
        <sz val="11"/>
        <rFont val="Arial"/>
        <family val="2"/>
      </rPr>
      <t>Mitt.</t>
    </r>
    <phoneticPr fontId="2" type="noConversion"/>
  </si>
  <si>
    <r>
      <t>(11)</t>
    </r>
    <r>
      <rPr>
        <i/>
        <sz val="12"/>
        <rFont val="楷体"/>
        <family val="3"/>
        <charset val="134"/>
      </rPr>
      <t>扭叶丛本藓</t>
    </r>
    <phoneticPr fontId="2" type="noConversion"/>
  </si>
  <si>
    <r>
      <t>(12) Gymnostomum aurantiacum</t>
    </r>
    <r>
      <rPr>
        <sz val="11"/>
        <rFont val="Arial"/>
        <family val="2"/>
      </rPr>
      <t xml:space="preserve"> (Mitt.) Jaeg.</t>
    </r>
    <phoneticPr fontId="2" type="noConversion"/>
  </si>
  <si>
    <r>
      <t>(12)</t>
    </r>
    <r>
      <rPr>
        <i/>
        <sz val="12"/>
        <rFont val="楷体"/>
        <family val="3"/>
        <charset val="134"/>
      </rPr>
      <t>橙色净口藓</t>
    </r>
    <phoneticPr fontId="2" type="noConversion"/>
  </si>
  <si>
    <r>
      <t>(13)</t>
    </r>
    <r>
      <rPr>
        <i/>
        <sz val="12"/>
        <rFont val="楷体"/>
        <family val="3"/>
        <charset val="134"/>
      </rPr>
      <t>拟丛净口藓</t>
    </r>
    <phoneticPr fontId="2" type="noConversion"/>
  </si>
  <si>
    <r>
      <t>(14) Hymenostylium recurvirostrum</t>
    </r>
    <r>
      <rPr>
        <sz val="11"/>
        <rFont val="Arial"/>
        <family val="2"/>
      </rPr>
      <t xml:space="preserve"> (Hedw.) Dix.</t>
    </r>
    <phoneticPr fontId="2" type="noConversion"/>
  </si>
  <si>
    <r>
      <t>(14)</t>
    </r>
    <r>
      <rPr>
        <i/>
        <sz val="12"/>
        <rFont val="楷体"/>
        <family val="3"/>
        <charset val="134"/>
      </rPr>
      <t>立膜藓</t>
    </r>
    <phoneticPr fontId="2" type="noConversion"/>
  </si>
  <si>
    <r>
      <t xml:space="preserve">(15) Gyroweisia brevicaulis </t>
    </r>
    <r>
      <rPr>
        <sz val="11"/>
        <rFont val="Arial"/>
        <family val="2"/>
      </rPr>
      <t>(C. Mull.)Broth.</t>
    </r>
    <phoneticPr fontId="2" type="noConversion"/>
  </si>
  <si>
    <r>
      <t>(15)</t>
    </r>
    <r>
      <rPr>
        <i/>
        <sz val="12"/>
        <rFont val="楷体"/>
        <family val="3"/>
        <charset val="134"/>
      </rPr>
      <t>短茎圆口藓</t>
    </r>
    <phoneticPr fontId="2" type="noConversion"/>
  </si>
  <si>
    <r>
      <t xml:space="preserve">(16) Gyroweisia yunnanensis </t>
    </r>
    <r>
      <rPr>
        <sz val="11"/>
        <rFont val="Arial"/>
        <family val="2"/>
      </rPr>
      <t>Broth.</t>
    </r>
    <phoneticPr fontId="2" type="noConversion"/>
  </si>
  <si>
    <r>
      <t>(16)</t>
    </r>
    <r>
      <rPr>
        <i/>
        <sz val="12"/>
        <rFont val="楷体"/>
        <family val="3"/>
        <charset val="134"/>
      </rPr>
      <t>云南圆口藓</t>
    </r>
    <phoneticPr fontId="2" type="noConversion"/>
  </si>
  <si>
    <r>
      <t>(17) Bryum kashmirense</t>
    </r>
    <r>
      <rPr>
        <sz val="11"/>
        <rFont val="Arial"/>
        <family val="2"/>
      </rPr>
      <t xml:space="preserve"> Broth.</t>
    </r>
    <phoneticPr fontId="2" type="noConversion"/>
  </si>
  <si>
    <r>
      <t>(17)</t>
    </r>
    <r>
      <rPr>
        <i/>
        <sz val="12"/>
        <rFont val="楷体"/>
        <family val="3"/>
        <charset val="134"/>
      </rPr>
      <t>喀什真藓</t>
    </r>
    <phoneticPr fontId="2" type="noConversion"/>
  </si>
  <si>
    <r>
      <t>(18) Bryum caespiticium</t>
    </r>
    <r>
      <rPr>
        <sz val="11"/>
        <rFont val="Arial"/>
        <family val="2"/>
      </rPr>
      <t xml:space="preserve"> Hedw.</t>
    </r>
    <phoneticPr fontId="2" type="noConversion"/>
  </si>
  <si>
    <r>
      <t>(18)</t>
    </r>
    <r>
      <rPr>
        <i/>
        <sz val="12"/>
        <rFont val="楷体"/>
        <family val="3"/>
        <charset val="134"/>
      </rPr>
      <t>丛生真藓</t>
    </r>
    <phoneticPr fontId="2" type="noConversion"/>
  </si>
  <si>
    <r>
      <t xml:space="preserve">(19) Bryum blindii </t>
    </r>
    <r>
      <rPr>
        <sz val="11"/>
        <rFont val="Arial"/>
        <family val="2"/>
      </rPr>
      <t>Bruch &amp; Schimp.</t>
    </r>
    <phoneticPr fontId="2" type="noConversion"/>
  </si>
  <si>
    <r>
      <t>(19)</t>
    </r>
    <r>
      <rPr>
        <i/>
        <sz val="12"/>
        <rFont val="楷体"/>
        <family val="3"/>
        <charset val="134"/>
      </rPr>
      <t>卵蒴真藓</t>
    </r>
    <phoneticPr fontId="2" type="noConversion"/>
  </si>
  <si>
    <r>
      <t>(20) Bryum cellulare</t>
    </r>
    <r>
      <rPr>
        <sz val="11"/>
        <rFont val="Arial"/>
        <family val="2"/>
      </rPr>
      <t xml:space="preserve"> Hook.</t>
    </r>
    <phoneticPr fontId="2" type="noConversion"/>
  </si>
  <si>
    <r>
      <t>(20)</t>
    </r>
    <r>
      <rPr>
        <i/>
        <sz val="12"/>
        <rFont val="楷体"/>
        <family val="3"/>
        <charset val="134"/>
      </rPr>
      <t>柔叶真藓</t>
    </r>
    <phoneticPr fontId="2" type="noConversion"/>
  </si>
  <si>
    <r>
      <t>(21) Bryum bornholmense</t>
    </r>
    <r>
      <rPr>
        <sz val="11"/>
        <rFont val="Arial"/>
        <family val="2"/>
      </rPr>
      <t xml:space="preserve"> Wink. &amp; R. Ruthe</t>
    </r>
    <phoneticPr fontId="2" type="noConversion"/>
  </si>
  <si>
    <r>
      <t>(21)</t>
    </r>
    <r>
      <rPr>
        <i/>
        <sz val="12"/>
        <rFont val="楷体"/>
        <family val="3"/>
        <charset val="134"/>
      </rPr>
      <t>瘤根真藓</t>
    </r>
    <phoneticPr fontId="2" type="noConversion"/>
  </si>
  <si>
    <r>
      <t>(22) Bryum blandum subsp. handelii</t>
    </r>
    <r>
      <rPr>
        <sz val="11"/>
        <rFont val="Arial"/>
        <family val="2"/>
      </rPr>
      <t xml:space="preserve"> (Broth.) Ochi</t>
    </r>
    <phoneticPr fontId="2" type="noConversion"/>
  </si>
  <si>
    <r>
      <t>(22)</t>
    </r>
    <r>
      <rPr>
        <i/>
        <sz val="12"/>
        <rFont val="楷体"/>
        <family val="3"/>
        <charset val="134"/>
      </rPr>
      <t>韩氏真藓</t>
    </r>
    <phoneticPr fontId="2" type="noConversion"/>
  </si>
  <si>
    <r>
      <t>(23) Bryum pseudotriquetrum</t>
    </r>
    <r>
      <rPr>
        <sz val="11"/>
        <rFont val="Arial"/>
        <family val="2"/>
      </rPr>
      <t xml:space="preserve"> (Hedw.) G. Gaertn., B. Mey. &amp; Scherb.</t>
    </r>
    <phoneticPr fontId="2" type="noConversion"/>
  </si>
  <si>
    <r>
      <t>(23)</t>
    </r>
    <r>
      <rPr>
        <i/>
        <sz val="12"/>
        <rFont val="楷体"/>
        <family val="3"/>
        <charset val="134"/>
      </rPr>
      <t>拟三列真藓</t>
    </r>
    <phoneticPr fontId="2" type="noConversion"/>
  </si>
  <si>
    <r>
      <t>(24) Mnium thomsonii</t>
    </r>
    <r>
      <rPr>
        <sz val="11"/>
        <rFont val="Arial"/>
        <family val="2"/>
      </rPr>
      <t xml:space="preserve"> Schimp.</t>
    </r>
    <phoneticPr fontId="2" type="noConversion"/>
  </si>
  <si>
    <r>
      <t>(24)</t>
    </r>
    <r>
      <rPr>
        <i/>
        <sz val="12"/>
        <rFont val="楷体"/>
        <family val="3"/>
        <charset val="134"/>
      </rPr>
      <t>偏叶提灯藓</t>
    </r>
    <phoneticPr fontId="2" type="noConversion"/>
  </si>
  <si>
    <r>
      <t>(25) Plagiomnium rostratum</t>
    </r>
    <r>
      <rPr>
        <sz val="11"/>
        <rFont val="Arial"/>
        <family val="2"/>
      </rPr>
      <t xml:space="preserve"> (Schrad.) T. Kop.</t>
    </r>
    <phoneticPr fontId="2" type="noConversion"/>
  </si>
  <si>
    <r>
      <t>(25)</t>
    </r>
    <r>
      <rPr>
        <i/>
        <sz val="12"/>
        <rFont val="楷体"/>
        <family val="3"/>
        <charset val="134"/>
      </rPr>
      <t>钝叶匍灯藓</t>
    </r>
    <phoneticPr fontId="2" type="noConversion"/>
  </si>
  <si>
    <r>
      <t>(26) Plagiomnium cuspidatum</t>
    </r>
    <r>
      <rPr>
        <sz val="11"/>
        <rFont val="Arial"/>
        <family val="2"/>
      </rPr>
      <t xml:space="preserve"> T. J. Kop.</t>
    </r>
    <phoneticPr fontId="2" type="noConversion"/>
  </si>
  <si>
    <r>
      <t>(26)</t>
    </r>
    <r>
      <rPr>
        <i/>
        <sz val="12"/>
        <rFont val="楷体"/>
        <family val="3"/>
        <charset val="134"/>
      </rPr>
      <t>匍灯藓</t>
    </r>
    <phoneticPr fontId="2" type="noConversion"/>
  </si>
  <si>
    <r>
      <t>(27) Trachycystis ussuriensis</t>
    </r>
    <r>
      <rPr>
        <sz val="11"/>
        <rFont val="Arial"/>
        <family val="2"/>
      </rPr>
      <t xml:space="preserve"> (Maack &amp; Regel) T. J. Kop.</t>
    </r>
    <phoneticPr fontId="2" type="noConversion"/>
  </si>
  <si>
    <r>
      <t>(27)</t>
    </r>
    <r>
      <rPr>
        <i/>
        <sz val="12"/>
        <rFont val="楷体"/>
        <family val="3"/>
        <charset val="134"/>
      </rPr>
      <t>树形疣灯藓</t>
    </r>
    <phoneticPr fontId="2" type="noConversion"/>
  </si>
  <si>
    <r>
      <t>(28) Leptopterigynandrum austroalpinum</t>
    </r>
    <r>
      <rPr>
        <sz val="11"/>
        <rFont val="Arial"/>
        <family val="2"/>
      </rPr>
      <t xml:space="preserve"> Müll. Hal.</t>
    </r>
    <phoneticPr fontId="2" type="noConversion"/>
  </si>
  <si>
    <r>
      <t>(28)</t>
    </r>
    <r>
      <rPr>
        <i/>
        <sz val="12"/>
        <rFont val="楷体"/>
        <family val="3"/>
        <charset val="134"/>
      </rPr>
      <t>叉羽藓</t>
    </r>
    <phoneticPr fontId="2" type="noConversion"/>
  </si>
  <si>
    <r>
      <t>(29) Thuidium delicatulum</t>
    </r>
    <r>
      <rPr>
        <sz val="11"/>
        <rFont val="Arial"/>
        <family val="2"/>
      </rPr>
      <t xml:space="preserve"> (Hedw.) Mitt.</t>
    </r>
    <phoneticPr fontId="2" type="noConversion"/>
  </si>
  <si>
    <r>
      <t>(29)</t>
    </r>
    <r>
      <rPr>
        <i/>
        <sz val="12"/>
        <rFont val="楷体"/>
        <family val="3"/>
        <charset val="134"/>
      </rPr>
      <t>细枝羽藓</t>
    </r>
    <phoneticPr fontId="2" type="noConversion"/>
  </si>
  <si>
    <r>
      <t>(30) Thuidium cymbifolium</t>
    </r>
    <r>
      <rPr>
        <sz val="11"/>
        <rFont val="Arial"/>
        <family val="2"/>
      </rPr>
      <t xml:space="preserve"> (Dozy &amp; Molk.) Dozy &amp; Molk.</t>
    </r>
    <phoneticPr fontId="2" type="noConversion"/>
  </si>
  <si>
    <r>
      <t>(30)</t>
    </r>
    <r>
      <rPr>
        <i/>
        <sz val="12"/>
        <rFont val="楷体"/>
        <family val="3"/>
        <charset val="134"/>
      </rPr>
      <t>大羽藓</t>
    </r>
    <phoneticPr fontId="2" type="noConversion"/>
  </si>
  <si>
    <r>
      <t>(31) Bryonoguchia molkenboeri</t>
    </r>
    <r>
      <rPr>
        <sz val="11"/>
        <rFont val="Arial"/>
        <family val="2"/>
      </rPr>
      <t xml:space="preserve"> (Lac.) Iwats. et Inoue</t>
    </r>
    <phoneticPr fontId="2" type="noConversion"/>
  </si>
  <si>
    <r>
      <t>(31)</t>
    </r>
    <r>
      <rPr>
        <i/>
        <sz val="12"/>
        <rFont val="楷体"/>
        <family val="3"/>
        <charset val="134"/>
      </rPr>
      <t>毛羽藓</t>
    </r>
    <phoneticPr fontId="2" type="noConversion"/>
  </si>
  <si>
    <r>
      <t>(32) Cratoneuron filicinum</t>
    </r>
    <r>
      <rPr>
        <sz val="11"/>
        <rFont val="Arial"/>
        <family val="2"/>
      </rPr>
      <t xml:space="preserve"> (Hedw.) Spruce. </t>
    </r>
    <phoneticPr fontId="2" type="noConversion"/>
  </si>
  <si>
    <r>
      <t>(32)</t>
    </r>
    <r>
      <rPr>
        <i/>
        <sz val="12"/>
        <rFont val="楷体"/>
        <family val="3"/>
        <charset val="134"/>
      </rPr>
      <t>牛角藓</t>
    </r>
    <phoneticPr fontId="2" type="noConversion"/>
  </si>
  <si>
    <r>
      <t>(33)</t>
    </r>
    <r>
      <rPr>
        <i/>
        <sz val="12"/>
        <rFont val="楷体"/>
        <family val="3"/>
        <charset val="134"/>
      </rPr>
      <t>镰刀藓</t>
    </r>
    <phoneticPr fontId="2" type="noConversion"/>
  </si>
  <si>
    <r>
      <t>(34)</t>
    </r>
    <r>
      <rPr>
        <i/>
        <sz val="12"/>
        <rFont val="楷体"/>
        <family val="3"/>
        <charset val="134"/>
      </rPr>
      <t>漆光镰刀藓</t>
    </r>
    <phoneticPr fontId="2" type="noConversion"/>
  </si>
  <si>
    <r>
      <t>(35)</t>
    </r>
    <r>
      <rPr>
        <i/>
        <sz val="12"/>
        <rFont val="楷体"/>
        <family val="3"/>
        <charset val="134"/>
      </rPr>
      <t>长肋青藓</t>
    </r>
    <phoneticPr fontId="2" type="noConversion"/>
  </si>
  <si>
    <r>
      <t>(36)</t>
    </r>
    <r>
      <rPr>
        <i/>
        <sz val="12"/>
        <rFont val="楷体"/>
        <family val="3"/>
        <charset val="134"/>
      </rPr>
      <t>匙叶毛尖藓</t>
    </r>
    <phoneticPr fontId="2" type="noConversion"/>
  </si>
  <si>
    <r>
      <t>(37)</t>
    </r>
    <r>
      <rPr>
        <i/>
        <sz val="12"/>
        <rFont val="楷体"/>
        <family val="3"/>
        <charset val="134"/>
      </rPr>
      <t>羽叶锦藓</t>
    </r>
    <phoneticPr fontId="2" type="noConversion"/>
  </si>
  <si>
    <r>
      <t>(38)</t>
    </r>
    <r>
      <rPr>
        <i/>
        <sz val="12"/>
        <rFont val="楷体"/>
        <family val="3"/>
        <charset val="134"/>
      </rPr>
      <t>矮锦藓</t>
    </r>
    <phoneticPr fontId="2" type="noConversion"/>
  </si>
  <si>
    <r>
      <t>(39)</t>
    </r>
    <r>
      <rPr>
        <i/>
        <sz val="12"/>
        <rFont val="楷体"/>
        <family val="3"/>
        <charset val="134"/>
      </rPr>
      <t>赤茎小锦藓</t>
    </r>
    <phoneticPr fontId="2" type="noConversion"/>
  </si>
  <si>
    <r>
      <t>(40)</t>
    </r>
    <r>
      <rPr>
        <i/>
        <sz val="12"/>
        <rFont val="楷体"/>
        <family val="3"/>
        <charset val="134"/>
      </rPr>
      <t>南亚灰藓</t>
    </r>
    <phoneticPr fontId="2" type="noConversion"/>
  </si>
  <si>
    <t>(33) D. aduncus</t>
    <phoneticPr fontId="2" type="noConversion"/>
  </si>
  <si>
    <t>(34)  D. vernicosus</t>
    <phoneticPr fontId="2" type="noConversion"/>
  </si>
  <si>
    <t>(35) B. populeum</t>
    <phoneticPr fontId="2" type="noConversion"/>
  </si>
  <si>
    <t>(36) C. cirrosum</t>
    <phoneticPr fontId="2" type="noConversion"/>
  </si>
  <si>
    <t>(37) S. subpinnatum</t>
    <phoneticPr fontId="2" type="noConversion"/>
  </si>
  <si>
    <t>(38) S. subhumile</t>
    <phoneticPr fontId="2" type="noConversion"/>
  </si>
  <si>
    <t>(39) B. erythrocaulis</t>
    <phoneticPr fontId="2" type="noConversion"/>
  </si>
  <si>
    <t>(40) H. oldhamii</t>
    <phoneticPr fontId="2" type="noConversion"/>
  </si>
  <si>
    <t>(41) H. hamulosum</t>
    <phoneticPr fontId="2" type="noConversion"/>
  </si>
  <si>
    <r>
      <t>(33) Drepanocladus aduncus</t>
    </r>
    <r>
      <rPr>
        <sz val="11"/>
        <rFont val="Arial"/>
        <family val="2"/>
      </rPr>
      <t xml:space="preserve"> (Hedw.) Warnst.</t>
    </r>
    <phoneticPr fontId="2" type="noConversion"/>
  </si>
  <si>
    <r>
      <t>(34) Drepanocladus vernicosus (</t>
    </r>
    <r>
      <rPr>
        <sz val="11"/>
        <rFont val="Arial"/>
        <family val="2"/>
      </rPr>
      <t>Mitt.) Warnst.</t>
    </r>
    <phoneticPr fontId="2" type="noConversion"/>
  </si>
  <si>
    <r>
      <t>(35) Brachythecium populeum</t>
    </r>
    <r>
      <rPr>
        <sz val="11"/>
        <rFont val="Arial"/>
        <family val="2"/>
      </rPr>
      <t xml:space="preserve"> (Hedw.) B.S.G.</t>
    </r>
    <phoneticPr fontId="2" type="noConversion"/>
  </si>
  <si>
    <r>
      <t>(36) Cirriphyllum cirrosum</t>
    </r>
    <r>
      <rPr>
        <sz val="11"/>
        <rFont val="Arial"/>
        <family val="2"/>
      </rPr>
      <t xml:space="preserve"> (Schwaegr.) Grout.</t>
    </r>
    <phoneticPr fontId="2" type="noConversion"/>
  </si>
  <si>
    <r>
      <t>(37) Sematophyllum subpinnatum</t>
    </r>
    <r>
      <rPr>
        <sz val="11"/>
        <rFont val="Arial"/>
        <family val="2"/>
      </rPr>
      <t xml:space="preserve"> (Brid.) Britt.</t>
    </r>
    <phoneticPr fontId="2" type="noConversion"/>
  </si>
  <si>
    <r>
      <t xml:space="preserve">(38) Sematophyllum subhumile </t>
    </r>
    <r>
      <rPr>
        <sz val="11"/>
        <rFont val="Arial"/>
        <family val="2"/>
      </rPr>
      <t>(Müll. Hal.) M. Fleisch.</t>
    </r>
    <phoneticPr fontId="2" type="noConversion"/>
  </si>
  <si>
    <r>
      <t>(39) Brotherella erythrocaulis</t>
    </r>
    <r>
      <rPr>
        <sz val="11"/>
        <rFont val="Arial"/>
        <family val="2"/>
      </rPr>
      <t xml:space="preserve"> (Mitt.) M. Fleisch.</t>
    </r>
    <phoneticPr fontId="2" type="noConversion"/>
  </si>
  <si>
    <r>
      <t>(40) Hypnum oldhamii</t>
    </r>
    <r>
      <rPr>
        <sz val="11"/>
        <rFont val="Arial"/>
        <family val="2"/>
      </rPr>
      <t xml:space="preserve"> (Mitt.) A. Jaeger</t>
    </r>
    <phoneticPr fontId="2" type="noConversion"/>
  </si>
  <si>
    <r>
      <t>(41) Hypnum hamulosum</t>
    </r>
    <r>
      <rPr>
        <sz val="11"/>
        <color indexed="8"/>
        <rFont val="Arial"/>
        <family val="2"/>
      </rPr>
      <t xml:space="preserve"> Schimp.</t>
    </r>
    <phoneticPr fontId="2" type="noConversion"/>
  </si>
  <si>
    <t xml:space="preserve">(18) Drepanocladus </t>
    <phoneticPr fontId="2" type="noConversion"/>
  </si>
  <si>
    <t>(19) Brachythecium</t>
    <phoneticPr fontId="2" type="noConversion"/>
  </si>
  <si>
    <t>(20) Cirriphyllum</t>
    <phoneticPr fontId="2" type="noConversion"/>
  </si>
  <si>
    <t>(21) Sematophyllum</t>
    <phoneticPr fontId="2" type="noConversion"/>
  </si>
  <si>
    <t>(22) Brotherella</t>
    <phoneticPr fontId="2" type="noConversion"/>
  </si>
  <si>
    <t>(23) Hypnum</t>
    <phoneticPr fontId="2" type="noConversion"/>
  </si>
  <si>
    <t>X.5..D..heteromalla</t>
  </si>
  <si>
    <t>X.7..D..drummondii</t>
  </si>
  <si>
    <t>X.10..C..flexuosus</t>
  </si>
  <si>
    <t>X.11..A..stracheyanum</t>
  </si>
  <si>
    <t>X.25..P..rostratum</t>
  </si>
  <si>
    <t>X.26..P..cuspidatum</t>
  </si>
  <si>
    <t>X.31..B..molkenboeri</t>
  </si>
  <si>
    <t>X.41..H..hamulosum</t>
  </si>
  <si>
    <t>X.8..D..fragilifolium</t>
  </si>
  <si>
    <t>X.13..G..anoectangioide</t>
  </si>
  <si>
    <t>X.19..B..blindii</t>
  </si>
  <si>
    <t>X.21..B..bornholmense</t>
  </si>
  <si>
    <t>X.24..M..thomsonii</t>
  </si>
  <si>
    <t>X.30..T..cymbifolium</t>
  </si>
  <si>
    <t>X.2..D..brevidens</t>
  </si>
  <si>
    <t>X.3..D..pallidum</t>
  </si>
  <si>
    <t>X.38..S..subhumile</t>
  </si>
  <si>
    <t>X.20..B..cellulare</t>
  </si>
  <si>
    <t>X.22..B..handelii</t>
  </si>
  <si>
    <t>X.27..T..ussuriensis</t>
  </si>
  <si>
    <t>X.33..D..aduncus</t>
  </si>
  <si>
    <t>X.37..S..subpinnatum</t>
  </si>
  <si>
    <t>X.1..D..pusillum</t>
  </si>
  <si>
    <t>C, D, E</t>
  </si>
  <si>
    <t>X.4..D..capillaceum</t>
  </si>
  <si>
    <t>A, B, C, D</t>
  </si>
  <si>
    <t>X.6..D..varia</t>
  </si>
  <si>
    <t>B, C</t>
  </si>
  <si>
    <t>X.9..C..aureus</t>
  </si>
  <si>
    <t>X.12..G..aurantiacum</t>
  </si>
  <si>
    <t>A, B</t>
  </si>
  <si>
    <t>X.14..H..recurvirostrum</t>
  </si>
  <si>
    <t>X.15..G..brevicaulis</t>
  </si>
  <si>
    <t>X.16..G..yunnanensis</t>
  </si>
  <si>
    <t>D, E</t>
  </si>
  <si>
    <t>X.17..B..kashmirense</t>
  </si>
  <si>
    <t>B, D</t>
  </si>
  <si>
    <t>X.18..B..caespiticium</t>
  </si>
  <si>
    <t>C, D</t>
  </si>
  <si>
    <t>X.23..B..pseudotriquetrum</t>
  </si>
  <si>
    <t>X.28..L..austroalpinum</t>
  </si>
  <si>
    <t>X.29..T..delicatulum</t>
  </si>
  <si>
    <t>C, E</t>
  </si>
  <si>
    <t>X.32..C..filicinum</t>
  </si>
  <si>
    <t>A, B, C, D, E</t>
  </si>
  <si>
    <t>X.34...D..vernicosus</t>
  </si>
  <si>
    <t>X.35..B..populeum</t>
  </si>
  <si>
    <t>X.36..C..cirrosum</t>
  </si>
  <si>
    <t>B, C, E</t>
  </si>
  <si>
    <t>X.39..B..erythrocaulis</t>
  </si>
  <si>
    <t>X.40..H..oldhamii</t>
  </si>
  <si>
    <t>A, B, C</t>
  </si>
  <si>
    <t>maxcls</t>
  </si>
  <si>
    <t>indcls</t>
  </si>
  <si>
    <t>pval</t>
  </si>
  <si>
    <t>frequency</t>
  </si>
  <si>
    <t>0.81***</t>
    <phoneticPr fontId="1" type="noConversion"/>
  </si>
  <si>
    <t>The cumulative explained variance of the first principal component axis.</t>
    <phoneticPr fontId="1" type="noConversion"/>
  </si>
  <si>
    <t>0.90***</t>
    <phoneticPr fontId="1" type="noConversion"/>
  </si>
  <si>
    <t>Meteorological_PC1</t>
    <phoneticPr fontId="1" type="noConversion"/>
  </si>
  <si>
    <t>Water_PC1</t>
    <phoneticPr fontId="1" type="noConversion"/>
  </si>
  <si>
    <r>
      <t>Springheads tufa landscape</t>
    </r>
    <r>
      <rPr>
        <b/>
        <sz val="10.5"/>
        <color theme="1"/>
        <rFont val="楷体"/>
        <family val="3"/>
        <charset val="134"/>
      </rPr>
      <t>（</t>
    </r>
    <r>
      <rPr>
        <b/>
        <sz val="10.5"/>
        <color theme="1"/>
        <rFont val="Arial"/>
        <family val="2"/>
      </rPr>
      <t>Spr.-TL</t>
    </r>
    <r>
      <rPr>
        <b/>
        <sz val="10.5"/>
        <color theme="1"/>
        <rFont val="楷体"/>
        <family val="3"/>
        <charset val="134"/>
      </rPr>
      <t>）</t>
    </r>
    <phoneticPr fontId="1" type="noConversion"/>
  </si>
  <si>
    <r>
      <t>Cascade tufa  landscape</t>
    </r>
    <r>
      <rPr>
        <b/>
        <sz val="10.5"/>
        <color theme="1"/>
        <rFont val="楷体"/>
        <family val="3"/>
        <charset val="134"/>
      </rPr>
      <t>（</t>
    </r>
    <r>
      <rPr>
        <b/>
        <sz val="10.5"/>
        <color theme="1"/>
        <rFont val="Arial"/>
        <family val="2"/>
      </rPr>
      <t>Cas.-TL</t>
    </r>
    <r>
      <rPr>
        <b/>
        <sz val="10.5"/>
        <color theme="1"/>
        <rFont val="楷体"/>
        <family val="3"/>
        <charset val="134"/>
      </rPr>
      <t>）</t>
    </r>
    <phoneticPr fontId="1" type="noConversion"/>
  </si>
  <si>
    <r>
      <t>Cushion tufa landscape</t>
    </r>
    <r>
      <rPr>
        <b/>
        <sz val="10.5"/>
        <color theme="1"/>
        <rFont val="楷体"/>
        <family val="3"/>
        <charset val="134"/>
      </rPr>
      <t>（</t>
    </r>
    <r>
      <rPr>
        <b/>
        <sz val="10.5"/>
        <color theme="1"/>
        <rFont val="Arial"/>
        <family val="2"/>
      </rPr>
      <t>Cus.-TL</t>
    </r>
    <r>
      <rPr>
        <b/>
        <sz val="10.5"/>
        <color theme="1"/>
        <rFont val="楷体"/>
        <family val="3"/>
        <charset val="134"/>
      </rPr>
      <t>）</t>
    </r>
    <phoneticPr fontId="1" type="noConversion"/>
  </si>
  <si>
    <r>
      <t>Rapids stream tufa landscape</t>
    </r>
    <r>
      <rPr>
        <b/>
        <sz val="10.5"/>
        <color theme="1"/>
        <rFont val="楷体"/>
        <family val="3"/>
        <charset val="134"/>
      </rPr>
      <t>（</t>
    </r>
    <r>
      <rPr>
        <b/>
        <sz val="10.5"/>
        <color theme="1"/>
        <rFont val="Arial"/>
        <family val="2"/>
      </rPr>
      <t>Rap.-TL</t>
    </r>
    <r>
      <rPr>
        <b/>
        <sz val="10.5"/>
        <color theme="1"/>
        <rFont val="楷体"/>
        <family val="3"/>
        <charset val="134"/>
      </rPr>
      <t>）</t>
    </r>
    <phoneticPr fontId="1" type="noConversion"/>
  </si>
  <si>
    <r>
      <t>Rimstone dams tufa landsape</t>
    </r>
    <r>
      <rPr>
        <b/>
        <sz val="10.5"/>
        <color theme="1"/>
        <rFont val="楷体"/>
        <family val="3"/>
        <charset val="134"/>
      </rPr>
      <t>（</t>
    </r>
    <r>
      <rPr>
        <b/>
        <sz val="10.5"/>
        <color theme="1"/>
        <rFont val="Arial"/>
        <family val="2"/>
      </rPr>
      <t>Rim.-TL</t>
    </r>
    <r>
      <rPr>
        <b/>
        <sz val="10.5"/>
        <color theme="1"/>
        <rFont val="楷体"/>
        <family val="3"/>
        <charset val="134"/>
      </rPr>
      <t>）</t>
    </r>
    <phoneticPr fontId="1" type="noConversion"/>
  </si>
  <si>
    <t>N</t>
  </si>
  <si>
    <t>Standard deviation</t>
    <phoneticPr fontId="1" type="noConversion"/>
  </si>
  <si>
    <t>Standard error</t>
    <phoneticPr fontId="1" type="noConversion"/>
  </si>
  <si>
    <t>Mean</t>
    <phoneticPr fontId="1" type="noConversion"/>
  </si>
  <si>
    <t>Multiple R-squared</t>
    <phoneticPr fontId="1" type="noConversion"/>
  </si>
  <si>
    <t>p-value</t>
    <phoneticPr fontId="1" type="noConversion"/>
  </si>
  <si>
    <t>Response variables</t>
    <phoneticPr fontId="1" type="noConversion"/>
  </si>
  <si>
    <t>Sum of squares</t>
    <phoneticPr fontId="1" type="noConversion"/>
  </si>
  <si>
    <t>F value</t>
    <phoneticPr fontId="1" type="noConversion"/>
  </si>
  <si>
    <t>Mean square</t>
    <phoneticPr fontId="1" type="noConversion"/>
  </si>
  <si>
    <t>1.476e-13 ***</t>
    <phoneticPr fontId="1" type="noConversion"/>
  </si>
  <si>
    <t>5.249e-12 ***</t>
    <phoneticPr fontId="1" type="noConversion"/>
  </si>
  <si>
    <t>0.03002 *</t>
    <phoneticPr fontId="1" type="noConversion"/>
  </si>
  <si>
    <t>0.001105 **</t>
    <phoneticPr fontId="1" type="noConversion"/>
  </si>
  <si>
    <t>TN after log transformation</t>
    <phoneticPr fontId="1" type="noConversion"/>
  </si>
  <si>
    <t>Non-normality of residuals detected (p = 0.014);</t>
    <phoneticPr fontId="1" type="noConversion"/>
  </si>
  <si>
    <t>0.001042 **</t>
    <phoneticPr fontId="1" type="noConversion"/>
  </si>
  <si>
    <t>0.02474 *</t>
    <phoneticPr fontId="1" type="noConversion"/>
  </si>
  <si>
    <t>7.279e-11 ***</t>
    <phoneticPr fontId="1" type="noConversion"/>
  </si>
  <si>
    <t>9.221e-05 ***</t>
    <phoneticPr fontId="1" type="noConversion"/>
  </si>
  <si>
    <t>0.0002494 ***</t>
    <phoneticPr fontId="1" type="noConversion"/>
  </si>
  <si>
    <t>0.0001347 ***</t>
    <phoneticPr fontId="1" type="noConversion"/>
  </si>
  <si>
    <t>MDA after log transformation</t>
    <phoneticPr fontId="1" type="noConversion"/>
  </si>
  <si>
    <t>Cond after log transformation</t>
    <phoneticPr fontId="1" type="noConversion"/>
  </si>
  <si>
    <t>1.046e-13 ***</t>
    <phoneticPr fontId="1" type="noConversion"/>
  </si>
  <si>
    <t>0.0001368 ***</t>
    <phoneticPr fontId="1" type="noConversion"/>
  </si>
  <si>
    <t>0.6648,</t>
    <phoneticPr fontId="1" type="noConversion"/>
  </si>
  <si>
    <t>0.0004862 ***</t>
    <phoneticPr fontId="1" type="noConversion"/>
  </si>
  <si>
    <t>2.738e-06 ***</t>
    <phoneticPr fontId="1" type="noConversion"/>
  </si>
  <si>
    <t>4.394e-06 ***</t>
    <phoneticPr fontId="1" type="noConversion"/>
  </si>
  <si>
    <t>6.455e-05 ***</t>
    <phoneticPr fontId="1" type="noConversion"/>
  </si>
  <si>
    <t xml:space="preserve">fit &lt;- lm(CAT ~ Sites, data = env) </t>
    <phoneticPr fontId="1" type="noConversion"/>
  </si>
  <si>
    <t>summary(fit)</t>
  </si>
  <si>
    <t>check_normality(fit)</t>
    <phoneticPr fontId="1" type="noConversion"/>
  </si>
  <si>
    <t xml:space="preserve">anova(fit) </t>
  </si>
  <si>
    <t xml:space="preserve">LSD.test(fit, "Sites", console=T) </t>
    <phoneticPr fontId="1" type="noConversion"/>
  </si>
  <si>
    <t>library(performance)</t>
  </si>
  <si>
    <t xml:space="preserve">library(performance) </t>
    <phoneticPr fontId="1" type="noConversion"/>
  </si>
  <si>
    <t>library(agricolae)</t>
    <phoneticPr fontId="1" type="noConversion"/>
  </si>
  <si>
    <t>Main R code</t>
    <phoneticPr fontId="1" type="noConversion"/>
  </si>
  <si>
    <t>Least squares regression and multiple comparison analysis of 3 moss community alpha diversity parameters, 7 moss habitat environmental factors, and 12 moss plant eco-physiological attributes.</t>
    <phoneticPr fontId="1" type="noConversion"/>
  </si>
  <si>
    <t>7 moss habitat environmental factors (figure4a-g).</t>
    <phoneticPr fontId="1" type="noConversion"/>
  </si>
  <si>
    <t>12 moss plant eco-physiological attributes(figure4h-s).</t>
    <phoneticPr fontId="1" type="noConversion"/>
  </si>
  <si>
    <t xml:space="preserve"> 3 moss community alpha diversity parameters (figure3a).</t>
    <phoneticPr fontId="1" type="noConversion"/>
  </si>
  <si>
    <t>indval_spe &lt;- indval(moss[,-(1:2)], mossa$Sites, numitr = 10000)</t>
    <phoneticPr fontId="1" type="noConversion"/>
  </si>
  <si>
    <t>library(labdsv)</t>
    <phoneticPr fontId="1" type="noConversion"/>
  </si>
  <si>
    <t>set.seed(123)</t>
  </si>
  <si>
    <t>set.seed(123)</t>
    <phoneticPr fontId="1" type="noConversion"/>
  </si>
  <si>
    <t>maxcls &lt;- indval_spe$maxcls</t>
    <phoneticPr fontId="1" type="noConversion"/>
  </si>
  <si>
    <t>indcls &lt;- indval_spe$indcls</t>
    <phoneticPr fontId="1" type="noConversion"/>
  </si>
  <si>
    <t>pval &lt;- indval_spe$pval</t>
    <phoneticPr fontId="1" type="noConversion"/>
  </si>
  <si>
    <t>frequency &lt;- apply(moss_data[,-(1:2)] &gt; 0, 2, sum)</t>
    <phoneticPr fontId="1" type="noConversion"/>
  </si>
  <si>
    <t>indval_spe &lt;- data.frame(maxcls, indcls, pval, frequency, relfrq, relabu, indval)</t>
  </si>
  <si>
    <t>write.csv(indval_spe, "indval_spe.csv")</t>
  </si>
  <si>
    <t>Main results</t>
    <phoneticPr fontId="1" type="noConversion"/>
  </si>
  <si>
    <t>Notes</t>
    <phoneticPr fontId="1" type="noConversion"/>
  </si>
  <si>
    <t>relfrq &lt;- indval_spe$relfrq</t>
    <phoneticPr fontId="1" type="noConversion"/>
  </si>
  <si>
    <t>A_relfrq</t>
    <phoneticPr fontId="1" type="noConversion"/>
  </si>
  <si>
    <t>B_relfrq</t>
    <phoneticPr fontId="1" type="noConversion"/>
  </si>
  <si>
    <t>C_relfrq</t>
    <phoneticPr fontId="1" type="noConversion"/>
  </si>
  <si>
    <t>D_relfrq</t>
    <phoneticPr fontId="1" type="noConversion"/>
  </si>
  <si>
    <t>E_relfrq</t>
    <phoneticPr fontId="1" type="noConversion"/>
  </si>
  <si>
    <t>relfrq</t>
  </si>
  <si>
    <t>relabu &lt;- indval_spe$relabu</t>
    <phoneticPr fontId="1" type="noConversion"/>
  </si>
  <si>
    <t>A_relabu</t>
    <phoneticPr fontId="1" type="noConversion"/>
  </si>
  <si>
    <t>B_relabu</t>
    <phoneticPr fontId="1" type="noConversion"/>
  </si>
  <si>
    <t>C_relabu</t>
    <phoneticPr fontId="1" type="noConversion"/>
  </si>
  <si>
    <t>D_relabu</t>
    <phoneticPr fontId="1" type="noConversion"/>
  </si>
  <si>
    <t>E_relabu</t>
    <phoneticPr fontId="1" type="noConversion"/>
  </si>
  <si>
    <t>indval &lt;- indval_spe$indval</t>
    <phoneticPr fontId="1" type="noConversion"/>
  </si>
  <si>
    <t>indval</t>
    <phoneticPr fontId="1" type="noConversion"/>
  </si>
  <si>
    <t>relabu</t>
    <phoneticPr fontId="1" type="noConversion"/>
  </si>
  <si>
    <t>A_indval</t>
    <phoneticPr fontId="1" type="noConversion"/>
  </si>
  <si>
    <t>B_indval</t>
    <phoneticPr fontId="1" type="noConversion"/>
  </si>
  <si>
    <t>C_indval</t>
    <phoneticPr fontId="1" type="noConversion"/>
  </si>
  <si>
    <t>D_indval</t>
    <phoneticPr fontId="1" type="noConversion"/>
  </si>
  <si>
    <t>E_indval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</si>
  <si>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</si>
  <si>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</si>
  <si>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</si>
  <si>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</si>
  <si>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The highest indicator value observed for each species under each tufa landscape type.</t>
    <phoneticPr fontId="1" type="noConversion"/>
  </si>
  <si>
    <t>The IndVal index is a combination of the average abundance and occurrence probability of a species within a group of sites.</t>
    <phoneticPr fontId="1" type="noConversion"/>
  </si>
  <si>
    <t>Significance of species' peak indicator values across  tufa landscape type through permutation testing.</t>
    <phoneticPr fontId="1" type="noConversion"/>
  </si>
  <si>
    <t>The number of occurrences of a species at 25 sites.</t>
    <phoneticPr fontId="1" type="noConversion"/>
  </si>
  <si>
    <t>For each species, tufa landscape type exhibiting the highest indicator value.</t>
    <phoneticPr fontId="1" type="noConversion"/>
  </si>
  <si>
    <t>Species relative frequency at each site.</t>
    <phoneticPr fontId="1" type="noConversion"/>
  </si>
  <si>
    <t>Species relative abundance among sites.</t>
    <phoneticPr fontId="1" type="noConversion"/>
  </si>
  <si>
    <t xml:space="preserve"> Relative frequency</t>
    <phoneticPr fontId="1" type="noConversion"/>
  </si>
  <si>
    <t>Relative abundance</t>
    <phoneticPr fontId="1" type="noConversion"/>
  </si>
  <si>
    <t>Indicator value</t>
    <phoneticPr fontId="1" type="noConversion"/>
  </si>
  <si>
    <t>The highlighted (gray) entries in the table represent statistically significant results (p &lt; 0.05) that were visualized in Figure 3c.</t>
    <phoneticPr fontId="1" type="noConversion"/>
  </si>
  <si>
    <t>The indicator species analysis results show that 11 moss species have a significant indicative effect on different tufa habitats.</t>
    <phoneticPr fontId="1" type="noConversion"/>
  </si>
  <si>
    <t>Unique species</t>
    <phoneticPr fontId="32" type="noConversion"/>
  </si>
  <si>
    <t>Shared species</t>
    <phoneticPr fontId="32" type="noConversion"/>
  </si>
  <si>
    <t>Core species</t>
    <phoneticPr fontId="32" type="noConversion"/>
  </si>
  <si>
    <t>X.26..P..cuspidatum</t>
    <phoneticPr fontId="1" type="noConversion"/>
  </si>
  <si>
    <t>Category</t>
    <phoneticPr fontId="1" type="noConversion"/>
  </si>
  <si>
    <t>Moss species</t>
    <phoneticPr fontId="1" type="noConversion"/>
  </si>
  <si>
    <t>Count</t>
    <phoneticPr fontId="1" type="noConversion"/>
  </si>
  <si>
    <t>X.34...D..vernicosus</t>
    <phoneticPr fontId="32" type="noConversion"/>
  </si>
  <si>
    <t>Abundance</t>
    <phoneticPr fontId="1" type="noConversion"/>
  </si>
  <si>
    <t>A total of seven species with relative abundance &gt;1% and relative frequency &gt;20% were identified in Supplementary Table  (1. Tufa Moss Data)</t>
    <phoneticPr fontId="1" type="noConversion"/>
  </si>
  <si>
    <t>Ecological groups</t>
    <phoneticPr fontId="1" type="noConversion"/>
  </si>
  <si>
    <t>env &lt;- read.csv("env.csv")</t>
  </si>
  <si>
    <t>env &lt;- read.csv("env.csv")</t>
    <phoneticPr fontId="1" type="noConversion"/>
  </si>
  <si>
    <t>moss_data &lt;- read.csv("moss.csv")</t>
    <phoneticPr fontId="1" type="noConversion"/>
  </si>
  <si>
    <t>moss_upset &lt;- read.csv("moss.csv")</t>
    <phoneticPr fontId="1" type="noConversion"/>
  </si>
  <si>
    <t>library(reshape2)</t>
    <phoneticPr fontId="1" type="noConversion"/>
  </si>
  <si>
    <t>library(Rmisc)</t>
    <phoneticPr fontId="1" type="noConversion"/>
  </si>
  <si>
    <t>moss_upset2 &lt;- summarySE(moss_upset1, measurevar = "value", groupvars = c("species", "Sites"))</t>
  </si>
  <si>
    <t xml:space="preserve">moss_upset3 &lt;- moss_upset2[,4] &gt; 0 </t>
  </si>
  <si>
    <t xml:space="preserve">library(tidyverse) </t>
    <phoneticPr fontId="1" type="noConversion"/>
  </si>
  <si>
    <t>moss_upset4 &lt;- data.frame(moss_upset2[1:2], moss_upset3)%&gt;% filter(moss_upset3)</t>
  </si>
  <si>
    <t>moss_upset5 &lt;- moss_upset4 %&gt;% group_by(species) %&gt;% summarize(Sites = list(Sites))</t>
  </si>
  <si>
    <t>moss_upset6 &lt;- moss_upset5[order(match(moss_upset5$Sites, c("A", "B", "C", "D", "E"))),]</t>
    <phoneticPr fontId="1" type="noConversion"/>
  </si>
  <si>
    <t>moss_upset1 &lt;- melt(moss_upset, id.vars = 1, measure.vars = c(3:43), variable.name = "species", value.name = "value")</t>
    <phoneticPr fontId="1" type="noConversion"/>
  </si>
  <si>
    <t>sites_strings &lt;- sapply(moss_upset6$Sites, function(x) paste(x, collapse=", "))</t>
  </si>
  <si>
    <t>write.csv(upset.csv, file = "upset.csv")</t>
  </si>
  <si>
    <t>upset.csv &lt;- data.frame(moss_upset6$species, sites_strings)</t>
    <phoneticPr fontId="1" type="noConversion"/>
  </si>
  <si>
    <t>moss_bar &lt;- read.csv("moss.csv")</t>
    <phoneticPr fontId="1" type="noConversion"/>
  </si>
  <si>
    <t>moss_bar1 &lt;- moss_bar[,c(1, 6, 16, 20, 25, 31, 34, 36)]</t>
  </si>
  <si>
    <t>moss_bar3 &lt;- melt(moss_bar1, id.vars = 1, measure.vars = c(2:8), variable.name = "species", value.name = "value")</t>
  </si>
  <si>
    <t>moss_bar4 &lt;- summarySE(moss_bar3, measurevar = "value", groupvars = c("species", "Sites"))</t>
  </si>
  <si>
    <t>write.csv(moss_bar4, file = "moss_bar.csv")</t>
    <phoneticPr fontId="1" type="noConversion"/>
  </si>
  <si>
    <t>environment1 &lt;- melt(env, id.vars = 1:2, measure.vars = c(6:27),variable.name = "environment", value.name = "value")</t>
    <phoneticPr fontId="1" type="noConversion"/>
  </si>
  <si>
    <t>environment2 &lt;- summarySE(environment1, measurevar = "value", groupvars = c("environment", "Sites"))</t>
    <phoneticPr fontId="1" type="noConversion"/>
  </si>
  <si>
    <t>environment2$Sites &lt;- factor(environment2$Sites, levels = c("A", "B", "C", "D", "E"))</t>
    <phoneticPr fontId="1" type="noConversion"/>
  </si>
  <si>
    <t>write.csv(environment2, "environment.csv")</t>
    <phoneticPr fontId="1" type="noConversion"/>
  </si>
  <si>
    <t>NMDS1</t>
  </si>
  <si>
    <t>NMDS2</t>
  </si>
  <si>
    <t>NMDS_data &lt;- read.csv("moss.csv")</t>
  </si>
  <si>
    <t>library(vegan)</t>
  </si>
  <si>
    <t xml:space="preserve">set.seed(123) </t>
  </si>
  <si>
    <t>NMDS &lt;- metaMDS(NMDS_data[, 3:43], distance = "bray", k = 2)</t>
  </si>
  <si>
    <t>NMDS$stress</t>
  </si>
  <si>
    <t>NMDS_points &lt;- as.data.frame(NMDS$points)</t>
  </si>
  <si>
    <t>write.csv(NMDS_points, "NMDS.csv")</t>
    <phoneticPr fontId="1" type="noConversion"/>
  </si>
  <si>
    <t>NMDS_centroids &lt;- NMDS_result %&gt;%group_by(Sites) %&gt;%summarise(NMDS1 = mean(NMDS1), NMDS2 = mean(NMDS2))</t>
    <phoneticPr fontId="1" type="noConversion"/>
  </si>
  <si>
    <t>write.csv(NMDS_centroids, "NMDS_centroids.csv")</t>
    <phoneticPr fontId="1" type="noConversion"/>
  </si>
  <si>
    <t>summary(anosim)</t>
  </si>
  <si>
    <t>Coordinates of the sites</t>
    <phoneticPr fontId="1" type="noConversion"/>
  </si>
  <si>
    <t>Coordinates of centroid</t>
    <phoneticPr fontId="1" type="noConversion"/>
  </si>
  <si>
    <t>ST</t>
  </si>
  <si>
    <t>&lt; 0.2</t>
  </si>
  <si>
    <t>&gt;= 0.05</t>
  </si>
  <si>
    <t>TT</t>
  </si>
  <si>
    <t>&gt;= 0.3</t>
  </si>
  <si>
    <t>0.001 - 0.01</t>
  </si>
  <si>
    <t>W</t>
  </si>
  <si>
    <t>0.2-0.3</t>
  </si>
  <si>
    <t>0.01 - 0.05</t>
  </si>
  <si>
    <t>Dom</t>
  </si>
  <si>
    <t>&lt; 0.001</t>
  </si>
  <si>
    <t>Habitat environment</t>
    <phoneticPr fontId="1" type="noConversion"/>
  </si>
  <si>
    <t>mantel's r</t>
  </si>
  <si>
    <t>mantel's p</t>
    <phoneticPr fontId="1" type="noConversion"/>
  </si>
  <si>
    <t>r range</t>
    <phoneticPr fontId="1" type="noConversion"/>
  </si>
  <si>
    <t>p range</t>
    <phoneticPr fontId="1" type="noConversion"/>
  </si>
  <si>
    <t>Moss ecological groups in relation to microhabitat conditions</t>
    <phoneticPr fontId="1" type="noConversion"/>
  </si>
  <si>
    <t>Chl_a.b</t>
  </si>
  <si>
    <t>Chl_a.b.1</t>
  </si>
  <si>
    <t>Cophysiological properties</t>
    <phoneticPr fontId="1" type="noConversion"/>
  </si>
  <si>
    <t>Ecophysiological adaptations of moss ecological groups</t>
    <phoneticPr fontId="1" type="noConversion"/>
  </si>
  <si>
    <t>moss &lt;- read.csv("moss.csv")</t>
  </si>
  <si>
    <t>moss_mantel &lt;- moss[, c(-1,-2)]</t>
  </si>
  <si>
    <t>ST &lt;- moss_mantel[,c(1:3, 6, 11, 13, 15:21)]</t>
  </si>
  <si>
    <t>TT &lt;- moss_mantel[,c(4:5, 7:10, 12, 14, 22:23)]</t>
  </si>
  <si>
    <t>W &lt;- moss_mantel[,c(24:41)]</t>
  </si>
  <si>
    <t>Dom &lt;- moss_mantel[,c(3:4, 12, 14, 17:18, 20, 23, 28:29, 32,34,38,39)]</t>
  </si>
  <si>
    <t>moss_mantel_data &lt;- data.frame(ST, TT, W, Dom)</t>
  </si>
  <si>
    <t>library(linkET)</t>
  </si>
  <si>
    <t>library(tidyverse)</t>
  </si>
  <si>
    <t>mantel &lt;- mantel_test(moss_mantel_data, env[,3:12], spec_select = list(ST = 1:13, TT = 14:23, W = 24:41, Dom = 42:55)) %&gt;% mutate(rd = cut(r, breaks = c(-Inf, 0.2, 0.3, Inf), labels = c("&lt; 0.2", "0.2-0.3", "&gt;= 0.3")), pd = cut(p, breaks = c(-Inf, 0.001, 0.01, 0.05, Inf), labels = c("&lt; 0.001", "0.001 - 0.01", "0.01 - 0.05", "&gt;= 0.05")))</t>
    <phoneticPr fontId="1" type="noConversion"/>
  </si>
  <si>
    <t>write.csv (mantel, file ="mantel.csv")</t>
    <phoneticPr fontId="1" type="noConversion"/>
  </si>
  <si>
    <t xml:space="preserve"> </t>
    <phoneticPr fontId="1" type="noConversion"/>
  </si>
  <si>
    <t xml:space="preserve">         </t>
    <phoneticPr fontId="1" type="noConversion"/>
  </si>
  <si>
    <t>mantel1&lt;- mantel_test(moss_mantel_data, env[,13:24], spec_select = list(ST = 1:13, TT = 14:23, W = 24:41, Dom = 42:55)) %&gt;%  mutate(rd = cut(r, breaks = c(-Inf, 0.2, 0.3, Inf), labels = c("&lt; 0.2", "0.2-0.3", "&gt;= 0.3")), pd = cut(p, breaks = c(-Inf, 0.001, 0.01, 0.05, Inf), labels = c("&lt; 0.001", "0.001 - 0.01", "0.01 - 0.05", "&gt;= 0.05")))</t>
    <phoneticPr fontId="1" type="noConversion"/>
  </si>
  <si>
    <t xml:space="preserve">write.csv (mantel1, file ="mantel1.csv")                  </t>
    <phoneticPr fontId="1" type="noConversion"/>
  </si>
  <si>
    <t>Note:execute the above code for each response variable</t>
  </si>
  <si>
    <t>Note:execute the above code for each response variable</t>
    <phoneticPr fontId="1" type="noConversion"/>
  </si>
  <si>
    <t>library(factoextra)</t>
  </si>
  <si>
    <t xml:space="preserve">library(FactoMineR) </t>
    <phoneticPr fontId="1" type="noConversion"/>
  </si>
  <si>
    <t>env_bio &lt;- env[, c("Richness", "Shannon", "Simpson")]</t>
  </si>
  <si>
    <t xml:space="preserve">env_bio_pca &lt;- PCA(env_bio, scale.unit = TRUE, graph = FALSE) </t>
  </si>
  <si>
    <t>summary(env_bio_pca)</t>
  </si>
  <si>
    <t>get_eigenvalue(env_bio_pca)</t>
  </si>
  <si>
    <t>pcadata &lt;- data.frame(PC1_diversity = get_pca_ind(env_bio_pca)$coord[, 1])</t>
  </si>
  <si>
    <t>cor.test(env_bio$Richness, sdaa[, 1], method = "pearson", conf.level = 0.95)</t>
  </si>
  <si>
    <t>cor.test(env_bio$Shannon, sdaa [, 1], method = "pearson", conf.level = 0.95)</t>
  </si>
  <si>
    <t>cor.test(env_bio$Simpson, sdaa[, 1], method = "pearson", conf.level = 0.95)</t>
  </si>
  <si>
    <t>(2)</t>
    <phoneticPr fontId="1" type="noConversion"/>
  </si>
  <si>
    <t># Diversity_PC1</t>
    <phoneticPr fontId="1" type="noConversion"/>
  </si>
  <si>
    <t>Note: loop through other principal components using the same code</t>
    <phoneticPr fontId="1" type="noConversion"/>
  </si>
  <si>
    <t>Coordinates of principal component variables on Axis 1 are provided in Supplementary Table (2. Variables data)</t>
    <phoneticPr fontId="1" type="noConversion"/>
  </si>
  <si>
    <t>Relative humidity (%)</t>
    <phoneticPr fontId="1" type="noConversion"/>
  </si>
  <si>
    <t>Temperature (°F)</t>
    <phoneticPr fontId="1" type="noConversion"/>
  </si>
  <si>
    <t>Meteorological properties</t>
    <phoneticPr fontId="1" type="noConversion"/>
  </si>
  <si>
    <t>Water quality properties</t>
  </si>
  <si>
    <t>- 0.88***</t>
    <phoneticPr fontId="1" type="noConversion"/>
  </si>
  <si>
    <t>- 0.84***</t>
    <phoneticPr fontId="1" type="noConversion"/>
  </si>
  <si>
    <t>0.88***</t>
    <phoneticPr fontId="1" type="noConversion"/>
  </si>
  <si>
    <t>Water conductivity  (μS/cm)</t>
    <phoneticPr fontId="1" type="noConversion"/>
  </si>
  <si>
    <t>(4)</t>
    <phoneticPr fontId="1" type="noConversion"/>
  </si>
  <si>
    <t>(7)</t>
    <phoneticPr fontId="1" type="noConversion"/>
  </si>
  <si>
    <t>(8)</t>
  </si>
  <si>
    <t>(9)</t>
    <phoneticPr fontId="1" type="noConversion"/>
  </si>
  <si>
    <t>(19)</t>
  </si>
  <si>
    <t>8</t>
    <phoneticPr fontId="1" type="noConversion"/>
  </si>
  <si>
    <t>(20)</t>
    <phoneticPr fontId="1" type="noConversion"/>
  </si>
  <si>
    <t>9</t>
    <phoneticPr fontId="1" type="noConversion"/>
  </si>
  <si>
    <t>(22)</t>
    <phoneticPr fontId="1" type="noConversion"/>
  </si>
  <si>
    <t>(23)</t>
  </si>
  <si>
    <t>(24)</t>
  </si>
  <si>
    <t>Notes:</t>
    <phoneticPr fontId="2" type="noConversion"/>
  </si>
  <si>
    <t>RDA1</t>
  </si>
  <si>
    <t>RDA1</t>
    <phoneticPr fontId="1" type="noConversion"/>
  </si>
  <si>
    <t>RDA2</t>
  </si>
  <si>
    <t>RDA2</t>
    <phoneticPr fontId="1" type="noConversion"/>
  </si>
  <si>
    <t>PC1_geospatial</t>
  </si>
  <si>
    <t>PC1_meteorological</t>
  </si>
  <si>
    <t>PC1_Water</t>
  </si>
  <si>
    <t>PC1_substrate</t>
  </si>
  <si>
    <t>PC1_moss</t>
  </si>
  <si>
    <t>PC1_photosynthesis</t>
  </si>
  <si>
    <t>PC1_osmotic</t>
  </si>
  <si>
    <t>PC1_enzyme</t>
  </si>
  <si>
    <t>Geospatial</t>
  </si>
  <si>
    <t>Water</t>
  </si>
  <si>
    <t>Substrate</t>
  </si>
  <si>
    <t>Photosynthesis</t>
  </si>
  <si>
    <t>Osmotic</t>
  </si>
  <si>
    <t>Photosynthesis_PC1</t>
    <phoneticPr fontId="1" type="noConversion"/>
  </si>
  <si>
    <t>Osmotic_PC1</t>
    <phoneticPr fontId="1" type="noConversion"/>
  </si>
  <si>
    <t>DCA1</t>
  </si>
  <si>
    <t>DCA2</t>
  </si>
  <si>
    <t>DCA3</t>
  </si>
  <si>
    <t>DCA4</t>
  </si>
  <si>
    <t>Eigenvalues</t>
  </si>
  <si>
    <t>Additive Eigenvalues</t>
  </si>
  <si>
    <t>Decorana values</t>
  </si>
  <si>
    <t>Axis lengths</t>
  </si>
  <si>
    <t>Component</t>
  </si>
  <si>
    <t>Inertia</t>
  </si>
  <si>
    <t>Proportion</t>
  </si>
  <si>
    <t>Total</t>
  </si>
  <si>
    <t>Constrained</t>
  </si>
  <si>
    <t>Unconstrained</t>
  </si>
  <si>
    <t>Partitioning of variance</t>
    <phoneticPr fontId="1" type="noConversion"/>
  </si>
  <si>
    <t>Eigenvalue</t>
  </si>
  <si>
    <t>Proportion Explained</t>
  </si>
  <si>
    <t>Cumulative Proportion</t>
  </si>
  <si>
    <t>RDA3</t>
  </si>
  <si>
    <t>RDA4</t>
  </si>
  <si>
    <t>RDA5</t>
  </si>
  <si>
    <t>RDA6</t>
  </si>
  <si>
    <t>RDA7</t>
  </si>
  <si>
    <t>RDA8</t>
  </si>
  <si>
    <t>Importance of components</t>
    <phoneticPr fontId="1" type="noConversion"/>
  </si>
  <si>
    <t>r2</t>
  </si>
  <si>
    <t>Pr(&gt;r)</t>
  </si>
  <si>
    <t>0.001 ***</t>
  </si>
  <si>
    <t>0.047 *</t>
  </si>
  <si>
    <t>0.023 *</t>
  </si>
  <si>
    <t>0.079 .</t>
  </si>
  <si>
    <t>0.002 **</t>
  </si>
  <si>
    <t>Unique</t>
  </si>
  <si>
    <t>Average.share</t>
  </si>
  <si>
    <t>Individual</t>
  </si>
  <si>
    <t>I.perc(%)</t>
  </si>
  <si>
    <t>Permutation test to obtain the p-value</t>
    <phoneticPr fontId="1" type="noConversion"/>
  </si>
  <si>
    <t>Site scores</t>
    <phoneticPr fontId="1" type="noConversion"/>
  </si>
  <si>
    <t>Explanatory variable scores</t>
    <phoneticPr fontId="1" type="noConversion"/>
  </si>
  <si>
    <t xml:space="preserve">Response variable scores </t>
    <phoneticPr fontId="1" type="noConversion"/>
  </si>
  <si>
    <t>0.017   *</t>
  </si>
  <si>
    <t>0.183    </t>
  </si>
  <si>
    <t>0.185    </t>
  </si>
  <si>
    <t>0.422    </t>
  </si>
  <si>
    <t>0.136    </t>
  </si>
  <si>
    <t>0.404    </t>
  </si>
  <si>
    <t>0.078    </t>
  </si>
  <si>
    <t>0.034   *</t>
  </si>
  <si>
    <t>Key results of hierarchical partitioning</t>
    <phoneticPr fontId="1" type="noConversion"/>
  </si>
  <si>
    <t>moss_RDA &lt;- read.csv("moss.csv")</t>
  </si>
  <si>
    <t>moss_RDA &lt;- moss_RDA[,-c(1:2)]</t>
  </si>
  <si>
    <t>moss_RDA1 &lt;- moss_RDA[, c(3:4, 12, 14, 17:18, 20, 23, 28:30, 32, 34, 38:39)]</t>
  </si>
  <si>
    <t xml:space="preserve">env_RDA1 &lt;- env[, 30:37] </t>
  </si>
  <si>
    <t>moss_RDA2 &lt;- decostand(moss_RDA1, method = 'hellinger')</t>
  </si>
  <si>
    <t>dca = decorana(veg = moss_RDA2)</t>
  </si>
  <si>
    <t xml:space="preserve">tb_RDA &lt;- rda(moss_RDA2, env_RDA1, scale = FALSE) </t>
    <phoneticPr fontId="1" type="noConversion"/>
  </si>
  <si>
    <t>tb_RDA_result &lt;- summary(tb_RDA, scaling = 1)</t>
  </si>
  <si>
    <t>tb_RDA_test &lt;- anova.cca(tb_RDA, permutations = 999)</t>
  </si>
  <si>
    <t>tb_RDA_test_axis &lt;- anova.cca(tb_RDA, by = 'axis', permutations = 999)</t>
  </si>
  <si>
    <t>envfit &lt;- envfit(tb_RDA, env_RDA1, permutations  = 999)</t>
  </si>
  <si>
    <t xml:space="preserve">tb_RDA_site &lt;- data.frame(tb_RDA_result$site[, 1:2]) </t>
  </si>
  <si>
    <t>tb_RDA_env &lt;- data.frame(tb_RDA_result$biplot[, 1:2])</t>
  </si>
  <si>
    <t>tb_RDA_species &lt;- data.frame(tb_RDA_result$species[, 1:2])</t>
  </si>
  <si>
    <t>library(rdacca.hp)</t>
    <phoneticPr fontId="1" type="noConversion"/>
  </si>
  <si>
    <t>RDA_hp &lt;- rdacca.hp(moss_RDA2, env_RDA1, method = 'RDA', type = "R2", scale = FALSE)</t>
  </si>
  <si>
    <t>permu_hp &lt;- permu.hp(dv = moss_RDA2, iv = env_RDA1, method = 'RDA', type = 'R2', permutations = 999)</t>
  </si>
  <si>
    <t>R2</t>
    <phoneticPr fontId="1" type="noConversion"/>
  </si>
  <si>
    <t>Adjusted R2</t>
    <phoneticPr fontId="1" type="noConversion"/>
  </si>
  <si>
    <t>Climatic</t>
  </si>
  <si>
    <t>Estimate</t>
  </si>
  <si>
    <t>Type</t>
    <phoneticPr fontId="1" type="noConversion"/>
  </si>
  <si>
    <t>Lower</t>
    <phoneticPr fontId="1" type="noConversion"/>
  </si>
  <si>
    <t>Upper</t>
    <phoneticPr fontId="1" type="noConversion"/>
  </si>
  <si>
    <t xml:space="preserve">Pr(&gt;|z|) </t>
  </si>
  <si>
    <t>8.00e-06 ***</t>
  </si>
  <si>
    <t>1.00e-07 ***</t>
  </si>
  <si>
    <t>4.63e-05 ***</t>
  </si>
  <si>
    <t xml:space="preserve">0.0146 *  </t>
  </si>
  <si>
    <t>env_scale &lt;- data.frame(scale(env[3:37]))</t>
  </si>
  <si>
    <t># Initial model</t>
    <phoneticPr fontId="1" type="noConversion"/>
  </si>
  <si>
    <t>mul_nutrients11 &lt;- lm(PC1_moss ~ Lng + Lat + Alt + Temp + RH + pH + Cond + OC + TN + TP,  env_scale)</t>
  </si>
  <si>
    <t>check_normality(mul_nutrients11)</t>
    <phoneticPr fontId="1" type="noConversion"/>
  </si>
  <si>
    <t># model with VIF less than 10</t>
    <phoneticPr fontId="1" type="noConversion"/>
  </si>
  <si>
    <t>vif(mul_nutrients11)</t>
  </si>
  <si>
    <t xml:space="preserve">vif(lm(PC1_moss ~ Lng + Temp + RH + pH + Cond + TN + TP, env_scale)) </t>
  </si>
  <si>
    <t>mul_nutrients12 &lt;- lm(PC1_moss ~ Lng + Temp + RH + pH + Cond + TN+ TP, env_scale)</t>
  </si>
  <si>
    <t>check_normality(mul_nutrients12)</t>
  </si>
  <si>
    <t>library(MuMIn)</t>
    <phoneticPr fontId="1" type="noConversion"/>
  </si>
  <si>
    <t>mul_selection12 &lt;- dredge(mul_nutrients12)</t>
  </si>
  <si>
    <t xml:space="preserve">subset(mul_selection12, delta &lt; 2) </t>
  </si>
  <si>
    <t>best12 &lt;- model.avg(mul_selection12, subset = delta &lt; 2)</t>
  </si>
  <si>
    <t>summary(best12)</t>
  </si>
  <si>
    <t># Best model</t>
    <phoneticPr fontId="1" type="noConversion"/>
  </si>
  <si>
    <t>mul_nutrients_best13 &lt;- lm(PC1_moss ~ Lng + Temp + RH + pH + Cond, env_scale)</t>
  </si>
  <si>
    <t>check_normality(mul_nutrients_best13)</t>
  </si>
  <si>
    <t>summary(mul_nutrients_best13)</t>
  </si>
  <si>
    <t>AICc(mul_nutrients11, mul_nutrients12, mul_nutrients_best13)</t>
  </si>
  <si>
    <t>summary(mul_nutrients12)</t>
  </si>
  <si>
    <t>summary(mul_nutrients11)</t>
  </si>
  <si>
    <t>aaa1 &lt;- summary(best12)$coefficients[1 ,]%&gt;% as.data.frame()%&gt;%  mutate(lower = confint(best12,full=TRUE)[, 1], upper= confint(best12,full=TRUE)[, 2])%&gt;% slice(-1)</t>
    <phoneticPr fontId="1" type="noConversion"/>
  </si>
  <si>
    <t>Estimate1 &lt;- abs(aaa1[, 1])</t>
  </si>
  <si>
    <t>Geospatial1 &lt;- sum(Estimate1[c(1)])/sum(Estimate1)*100</t>
  </si>
  <si>
    <t>Climatic1 &lt;- sum(Estimate1[c(3:4)])/sum(Estimate1)*100</t>
  </si>
  <si>
    <t>Water1  &lt;- sum(Estimate1[c(2,5)])/sum(Estimate1)*100</t>
  </si>
  <si>
    <t>bb11 &lt;- c(Geospatial1, Climatic1, Water1)%&gt;% as.data.frame()</t>
  </si>
  <si>
    <t>bb12 &lt;- c("Geospatial", "Climatic", "Water")%&gt;% as.data.frame()</t>
  </si>
  <si>
    <t>bb13 &lt;- cbind(bb11, bb12)</t>
  </si>
  <si>
    <t>Relative effect</t>
    <phoneticPr fontId="1" type="noConversion"/>
  </si>
  <si>
    <t>Explanatory variable</t>
    <phoneticPr fontId="1" type="noConversion"/>
  </si>
  <si>
    <t>Associations of moss traits with microhabitat environmental variables</t>
    <phoneticPr fontId="1" type="noConversion"/>
  </si>
  <si>
    <t>delta &lt; 2</t>
    <phoneticPr fontId="1" type="noConversion"/>
  </si>
  <si>
    <t xml:space="preserve"> 0.042943 *</t>
  </si>
  <si>
    <t>0.000866 ***</t>
  </si>
  <si>
    <t>Associations of moss diversity with microhabitat environmental variables</t>
    <phoneticPr fontId="1" type="noConversion"/>
  </si>
  <si>
    <t>2e-07 ***</t>
  </si>
  <si>
    <t xml:space="preserve">0.0635 . </t>
  </si>
  <si>
    <t>0.0167 *</t>
  </si>
  <si>
    <t>0.0353 *</t>
  </si>
  <si>
    <t xml:space="preserve">Associations of moss diversity with moss traits </t>
    <phoneticPr fontId="1" type="noConversion"/>
  </si>
  <si>
    <t>Nutrients</t>
  </si>
  <si>
    <t>enzyme</t>
  </si>
  <si>
    <t>Nutrient properties of moss green tissues (Moss_PC1_Figure6a)</t>
    <phoneticPr fontId="1" type="noConversion"/>
  </si>
  <si>
    <t>Photosynthetic traits of moss green tissues (Photosynthetic_PC1_Figure6b )</t>
    <phoneticPr fontId="1" type="noConversion"/>
  </si>
  <si>
    <r>
      <t>Osmotic regulation traits in moss green tissues (Osmolyte_PC1_Figure6c</t>
    </r>
    <r>
      <rPr>
        <b/>
        <sz val="11"/>
        <color rgb="FF404040"/>
        <rFont val="宋体"/>
        <family val="2"/>
        <charset val="134"/>
      </rPr>
      <t>）</t>
    </r>
    <phoneticPr fontId="1" type="noConversion"/>
  </si>
  <si>
    <t>Antioxidant enzyme activities in moss green tissues (Enzyme_PC1_Figure6d)</t>
    <phoneticPr fontId="1" type="noConversion"/>
  </si>
  <si>
    <r>
      <t>Mosses community diversity (Diversity_PC1_Figure6e</t>
    </r>
    <r>
      <rPr>
        <b/>
        <sz val="11"/>
        <color rgb="FF404040"/>
        <rFont val="宋体"/>
        <family val="2"/>
        <charset val="134"/>
      </rPr>
      <t>）</t>
    </r>
    <phoneticPr fontId="1" type="noConversion"/>
  </si>
  <si>
    <r>
      <t>Mosses community diversity (Diversity_PC1_Figure6f</t>
    </r>
    <r>
      <rPr>
        <b/>
        <sz val="11"/>
        <color rgb="FF404040"/>
        <rFont val="宋体"/>
        <family val="2"/>
        <charset val="134"/>
      </rPr>
      <t>）</t>
    </r>
    <phoneticPr fontId="1" type="noConversion"/>
  </si>
  <si>
    <t xml:space="preserve">Main Results of RDA </t>
    <phoneticPr fontId="1" type="noConversion"/>
  </si>
  <si>
    <t>new_environment</t>
  </si>
  <si>
    <t xml:space="preserve">  PC1_moss ~ PC1_geospatial + PC1_enzyme + PC1_substrate + new_environment</t>
  </si>
  <si>
    <t xml:space="preserve">  PC1_diversity ~ PC1_geospatial + PC1_substrate + new_environment + PC1_moss + new_photosynthesis + PC1_osmotic + PC1_enzyme</t>
  </si>
  <si>
    <t xml:space="preserve"> AIC</t>
  </si>
  <si>
    <t xml:space="preserve">Independ.Claim </t>
  </si>
  <si>
    <t>Test.Type</t>
  </si>
  <si>
    <t>DF</t>
  </si>
  <si>
    <t>Crit.Value</t>
  </si>
  <si>
    <t>P.Value</t>
  </si>
  <si>
    <t xml:space="preserve"> coef</t>
  </si>
  <si>
    <t>***</t>
  </si>
  <si>
    <t>*</t>
  </si>
  <si>
    <t>**</t>
  </si>
  <si>
    <t>PC1_diversity</t>
  </si>
  <si>
    <t>Response</t>
  </si>
  <si>
    <t>Predictor</t>
  </si>
  <si>
    <t>Std.Error</t>
  </si>
  <si>
    <t>Std.Estimate</t>
  </si>
  <si>
    <t>R.squared</t>
  </si>
  <si>
    <t># Construction of environmental composite variables</t>
    <phoneticPr fontId="1" type="noConversion"/>
  </si>
  <si>
    <t>library(car)</t>
  </si>
  <si>
    <t>vif(lm(PC1_diversity ~ scale(Temp) + scale(RH) + scale(pH)  +scale(Cond) , data = psem_data))</t>
  </si>
  <si>
    <t>model_environment &lt;- lm(PC1_diversity ~ scale(Temp) + scale(RH) + scale(pH)  +scale(Cond) , data = psem_data)</t>
  </si>
  <si>
    <t>summary(model_environment)</t>
  </si>
  <si>
    <t>check_normality(model_environment)</t>
  </si>
  <si>
    <t>library(piecewiseSEM)</t>
  </si>
  <si>
    <t>coefs(model_environment, standardize = "scale")</t>
  </si>
  <si>
    <t>estimate_Temp&lt;-  summary(model_environment)$coefficients[2, 1]</t>
  </si>
  <si>
    <t>estimate_RH &lt;-  summary(model_environment)$coefficients[3, 1]</t>
  </si>
  <si>
    <t>estimate_pH &lt;-  summary(model_environment)$coefficients[4, 1]</t>
  </si>
  <si>
    <t>estimate_Cond &lt;-  summary(model_environment)$coefficients[5, 1]</t>
  </si>
  <si>
    <t>new_environment &lt;- estimate_Temp * scale(psem_data$Temp) + estimate_RH * scale(psem_data$RH) + estimate_pH * scale(psem_data$pH) + estimate_Cond* scale(psem_data$Cond)</t>
  </si>
  <si>
    <t>psem_data&lt;- cbind(psem_data, new_environment)</t>
  </si>
  <si>
    <t># Initial structural equation model</t>
    <phoneticPr fontId="1" type="noConversion"/>
  </si>
  <si>
    <t>mosses.psem &lt;- as.psem(mosses.list)</t>
  </si>
  <si>
    <t>summary(mosses.psem)</t>
  </si>
  <si>
    <t xml:space="preserve"># Adding paths to structural equation models </t>
    <phoneticPr fontId="1" type="noConversion"/>
  </si>
  <si>
    <t>mosses.psem1 &lt;- update(mosses.psem, PC1_osmotic ~ PC1_geospatial+PC1_substrate+new_environment)</t>
  </si>
  <si>
    <t>summary(mosses.psem1)</t>
  </si>
  <si>
    <t>mosses.psem2 &lt;- update(mosses.psem1, PC1_enzyme ~ PC1_geospatial+PC1_substrate+new_environment)</t>
  </si>
  <si>
    <t>summary(mosses.psem2)</t>
  </si>
  <si>
    <t>summary(mosses.psem3)</t>
  </si>
  <si>
    <t>summary(mosses.psem4)</t>
  </si>
  <si>
    <t>Main Results of SEM</t>
    <phoneticPr fontId="1" type="noConversion"/>
  </si>
  <si>
    <t>Datasets for SEM</t>
    <phoneticPr fontId="1" type="noConversion"/>
  </si>
  <si>
    <t xml:space="preserve">coefs(model_environment, standardize = "scale") </t>
    <phoneticPr fontId="1" type="noConversion"/>
  </si>
  <si>
    <t>Tests of directed separation</t>
    <phoneticPr fontId="1" type="noConversion"/>
  </si>
  <si>
    <t>Global goodness-of-fit</t>
    <phoneticPr fontId="1" type="noConversion"/>
  </si>
  <si>
    <t>Coefficients</t>
    <phoneticPr fontId="1" type="noConversion"/>
  </si>
  <si>
    <t>Individual R-squared</t>
    <phoneticPr fontId="1" type="noConversion"/>
  </si>
  <si>
    <t>1. The full names and description of the variables are provided in Supplementary table (3. Data description).</t>
    <phoneticPr fontId="2" type="noConversion"/>
  </si>
  <si>
    <t>anosim &lt;- anosim(NMDS_data[,3:43], NMDS_data$Sites, permutations = 999, distance = "bray")</t>
    <phoneticPr fontId="1" type="noConversion"/>
  </si>
  <si>
    <t>psem_data &lt;-  data.frame(env[, c(6:9, 29:30, 33:37)])</t>
    <phoneticPr fontId="1" type="noConversion"/>
  </si>
  <si>
    <t>psem_data1 &lt;-  data.frame(psem_data[, 5:12])</t>
    <phoneticPr fontId="1" type="noConversion"/>
  </si>
  <si>
    <t>mosses.list &lt;- list(lm(PC1_substrate ~ PC1_geospatial+new_environment, data = psem_data1), lm(new_environment ~ PC1_geospatial, data = psem_data1), lm(new_photosynthesis ~ PC1_substrate+new_environment, data = psem_data1), lm(PC1_osmotic ~ PC1_substrate+new_environment, data = psem_data1), lm(PC1_moss ~ PC1_substrate+new_environment, data = psem_data1),lm(PC1_enzyme ~ PC1_substrate+new_environment, data = psem_data1), lm(PC1_diversity ~ PC1_geospatial+ PC1_substrate+new_environment+ PC1_moss+ new_photosynthesis+ PC1_osmotic+ PC1_enzyme, data = psem_data1))</t>
    <phoneticPr fontId="1" type="noConversion"/>
  </si>
  <si>
    <t>mosses.psem3 &lt;- update(mosses.psem2, PC1_enzyme ~ PC1_moss+PC1_geospatial+PC1_substrate+new_environment)</t>
  </si>
  <si>
    <t>mosses.psem4 &lt;- update(mosses.psem3, PC1_photosynthesis ~ PC1_geospatial+PC1_substrate+new_environment)</t>
  </si>
  <si>
    <t>coefs(mosses.psem4, standardize = "scale")</t>
    <phoneticPr fontId="1" type="noConversion"/>
  </si>
  <si>
    <t>rsquared(mosses.psem4)</t>
    <phoneticPr fontId="1" type="noConversion"/>
  </si>
  <si>
    <t>Structural Equation Model of mosses.psem4</t>
    <phoneticPr fontId="1" type="noConversion"/>
  </si>
  <si>
    <t>PC1_substrate ~ PC1_geospatial + new_environment</t>
    <phoneticPr fontId="1" type="noConversion"/>
  </si>
  <si>
    <t>new_environment ~ PC1_geospatial</t>
    <phoneticPr fontId="1" type="noConversion"/>
  </si>
  <si>
    <t xml:space="preserve">  PC1_photosynthesis ~ PC1_geospatial + PC1_substrate + new_environment</t>
    <phoneticPr fontId="1" type="noConversion"/>
  </si>
  <si>
    <t xml:space="preserve"> PC1_osmotic ~ PC1_geospatial + PC1_substrate + new_environment</t>
    <phoneticPr fontId="1" type="noConversion"/>
  </si>
  <si>
    <t>PC1_enzyme ~ PC1_moss + PC1_geospatial + PC1_substrate + new_environment</t>
    <phoneticPr fontId="1" type="noConversion"/>
  </si>
  <si>
    <t>PC1_moss ~ PC1_geospatial + …</t>
    <phoneticPr fontId="1" type="noConversion"/>
  </si>
  <si>
    <t>PC1_osmotic ~ PC1_photosynthesis + …</t>
    <phoneticPr fontId="1" type="noConversion"/>
  </si>
  <si>
    <t>PC1_moss ~ PC1_photosynthesis + …</t>
    <phoneticPr fontId="1" type="noConversion"/>
  </si>
  <si>
    <t>PC1_enzyme ~ PC1_photosynthesis + …</t>
    <phoneticPr fontId="1" type="noConversion"/>
  </si>
  <si>
    <t>PC1_moss ~ PC1_osmotic + …</t>
    <phoneticPr fontId="1" type="noConversion"/>
  </si>
  <si>
    <t xml:space="preserve">PC1_enzyme ~ PC1_osmotic + ... </t>
    <phoneticPr fontId="1" type="noConversion"/>
  </si>
  <si>
    <t>Chi-Squared = 8.101 with P-value = 0.231 and on 6 degrees of freedom</t>
    <phoneticPr fontId="1" type="noConversion"/>
  </si>
  <si>
    <t>Fisher's C = 13.349 with P-value = 0.344 and on 12 degrees of freedom</t>
    <phoneticPr fontId="1" type="noConversion"/>
  </si>
  <si>
    <t>Chl_a:b</t>
  </si>
  <si>
    <t>Chl_a+b</t>
  </si>
  <si>
    <t>Site1</t>
  </si>
  <si>
    <t>Site2</t>
  </si>
  <si>
    <t>Site3</t>
  </si>
  <si>
    <t>Site4</t>
  </si>
  <si>
    <t>Site5</t>
  </si>
  <si>
    <t>Site6</t>
  </si>
  <si>
    <t>Site7</t>
  </si>
  <si>
    <t>Site8</t>
  </si>
  <si>
    <t>Site9</t>
  </si>
  <si>
    <t>Site10</t>
  </si>
  <si>
    <t>Site11</t>
  </si>
  <si>
    <t>Site12</t>
  </si>
  <si>
    <t>Site13</t>
  </si>
  <si>
    <t>Site14</t>
  </si>
  <si>
    <t>Site15</t>
  </si>
  <si>
    <t>Site16</t>
  </si>
  <si>
    <t>Site17</t>
  </si>
  <si>
    <t>Site18</t>
  </si>
  <si>
    <t>Site19</t>
  </si>
  <si>
    <t>Site20</t>
  </si>
  <si>
    <t>Site21</t>
  </si>
  <si>
    <t>Site22</t>
  </si>
  <si>
    <t>Site23</t>
  </si>
  <si>
    <t>Site24</t>
  </si>
  <si>
    <t>Site25</t>
  </si>
  <si>
    <t>Based on presence/absence data of moss species, we quantified beta diversity dissimilarities (βjaccard) among sites using the Jaccard dissimilarity index.</t>
    <phoneticPr fontId="1" type="noConversion"/>
  </si>
  <si>
    <t xml:space="preserve"> BDtotal</t>
  </si>
  <si>
    <t>Repl</t>
  </si>
  <si>
    <t xml:space="preserve">RichDif </t>
  </si>
  <si>
    <t xml:space="preserve">Repl/BDtotal </t>
  </si>
  <si>
    <t>RichDif/BDtotal</t>
  </si>
  <si>
    <t>Main Results of beta diversity partitioning</t>
    <phoneticPr fontId="1" type="noConversion"/>
  </si>
  <si>
    <t>abund &lt;- read.csv("moss.csv")</t>
  </si>
  <si>
    <t>dist.bray &lt;- vegdist(abund[,-c(1:2)], method = 'bray')</t>
  </si>
  <si>
    <t>library(adespatial)</t>
  </si>
  <si>
    <t xml:space="preserve">dist.Jaccard &lt;- beta.div.comp(abund[,-c(1:2)], coef= 'J',quant = F) </t>
  </si>
  <si>
    <t>dist.Jaccard$D</t>
  </si>
  <si>
    <t>dist.Jaccard$repl</t>
  </si>
  <si>
    <t>dist.Jaccard$rich</t>
  </si>
  <si>
    <r>
      <t>species replacement (β</t>
    </r>
    <r>
      <rPr>
        <vertAlign val="subscript"/>
        <sz val="11"/>
        <color theme="1"/>
        <rFont val="Arial"/>
        <family val="2"/>
      </rPr>
      <t>repl</t>
    </r>
    <r>
      <rPr>
        <sz val="11"/>
        <color theme="1"/>
        <rFont val="Arial"/>
        <family val="2"/>
      </rPr>
      <t>, representing species turnover)</t>
    </r>
  </si>
  <si>
    <r>
      <t>nestedness (β</t>
    </r>
    <r>
      <rPr>
        <vertAlign val="subscript"/>
        <sz val="11"/>
        <color theme="1"/>
        <rFont val="Arial"/>
        <family val="2"/>
      </rPr>
      <t>rich</t>
    </r>
    <r>
      <rPr>
        <sz val="11"/>
        <color theme="1"/>
        <rFont val="Arial"/>
        <family val="2"/>
      </rPr>
      <t>, representing richness difference)</t>
    </r>
  </si>
  <si>
    <t>dist.bray1</t>
  </si>
  <si>
    <t>dist.env1</t>
  </si>
  <si>
    <t>dist.eco1</t>
  </si>
  <si>
    <t>dist.geo1</t>
  </si>
  <si>
    <t>scale.env &lt;- scale(env[,c("Temp","Alt","pH")], center = TRUE, scale = TRUE)</t>
  </si>
  <si>
    <t>dist.env &lt;- dist(scale.env, method = 'euclidean')</t>
  </si>
  <si>
    <t>scale.eco &lt;- scale(env[,c("MTC","MTN","Chl_a","Chl_b","MDA","POD","SOD")], center = TRUE, scale = TRUE)</t>
  </si>
  <si>
    <t>dist.eco&lt;- dist(scale.env2, method = 'euclidean')</t>
  </si>
  <si>
    <t>library(geosphere)</t>
  </si>
  <si>
    <t xml:space="preserve">d.geo &lt;- distm(geo[,3:4], fun = distHaversine) </t>
  </si>
  <si>
    <t>dist.geo &lt;- as.dist(d.geo)</t>
  </si>
  <si>
    <t>dist.bray1 &lt;- as.vector(dist.abund)</t>
  </si>
  <si>
    <t>dist.env1 &lt;- as.vector(dist.env)</t>
  </si>
  <si>
    <t>dist.eco1 &lt;- as.vector(dist.eco)</t>
  </si>
  <si>
    <t>dist.geo1 &lt;- as.vector(dist.geo)</t>
  </si>
  <si>
    <t>total &lt;- data.frame(dist.bray1, dist.env1, dist.eco1, dist.geo1)</t>
  </si>
  <si>
    <t>write_csv(total, "total1.csv")</t>
  </si>
  <si>
    <t>a1 &lt;- mantel(dist.eco,dist.env,method = 'spearman', permutations = 9999, na.rm = TRUE)</t>
    <phoneticPr fontId="1" type="noConversion"/>
  </si>
  <si>
    <t>rda.vpa &lt;- varpart(moss_RDA2, ~PC1_moss + PC1_osmotic + PC1_enzyme, ~PC1_Water+PC1_meteorological,~PC1_geospatial,data = env_RDA1,transfo = "hel", chisquare = FALSE)</t>
  </si>
  <si>
    <t>rda.vpa</t>
  </si>
  <si>
    <t>anova.cca(rda(moss_RDA2~PC1_Water + PC1_meteorological+Condition(PC1_moss + PC1_osmotic + PC1_geospatial+ PC1_enzyme),env_RDA1),permutations=999)</t>
  </si>
  <si>
    <t>anova.cca(rda(moss_RDA2~PC1_geospatial+Condition(PC1_moss + PC1_osmotic + PC1_Water + PC1_meteorological+ PC1_enzyme),env_RDA1),permutations=999)</t>
  </si>
  <si>
    <t>anova.cca(rda(moss_RDA2~PC1_moss + PC1_osmotic +PC1_enzyme+Condition( PC1_Water + PC1_meteorological+ PC1_geospatial),env_RDA1),permutations=999)</t>
  </si>
  <si>
    <t>[a+d+f+g] = X1</t>
  </si>
  <si>
    <t>Df</t>
  </si>
  <si>
    <t>R.square</t>
  </si>
  <si>
    <t>Adj.R.square</t>
  </si>
  <si>
    <t>Testable</t>
  </si>
  <si>
    <t>[b+d+e+g] = X2</t>
  </si>
  <si>
    <t>[c+e+f+g] = X3</t>
  </si>
  <si>
    <t>[a+b+d+e+f+g] = X1+X2</t>
  </si>
  <si>
    <t>[a+c+d+e+f+g] = X1+X3</t>
  </si>
  <si>
    <t>[b+c+d+e+f+g] = X2+X3</t>
  </si>
  <si>
    <t>[a+b+c+d+e+f+g] = All</t>
  </si>
  <si>
    <t>[a] = X1 | X2+X3</t>
  </si>
  <si>
    <t>NA</t>
  </si>
  <si>
    <t>[b] = X2 | X1+X3</t>
  </si>
  <si>
    <t>[c] = X3 | X1+X2</t>
  </si>
  <si>
    <t>[d]</t>
  </si>
  <si>
    <t>[e]</t>
  </si>
  <si>
    <t>[f]</t>
  </si>
  <si>
    <t>[g]</t>
  </si>
  <si>
    <t>[h] = Residuals</t>
  </si>
  <si>
    <t>[a+d] = X1 | X3</t>
  </si>
  <si>
    <t>[a+f] = X1 | X2</t>
  </si>
  <si>
    <t>[b+d] = X2 | X3</t>
  </si>
  <si>
    <t>[b+e] = X2 | X1</t>
  </si>
  <si>
    <t>[c+e] = X3 | X1</t>
  </si>
  <si>
    <t>[c+f] = X3 | X2</t>
  </si>
  <si>
    <t>Individual fractions</t>
  </si>
  <si>
    <t>Explanatory tables:</t>
  </si>
  <si>
    <t>X1:  ~PC1_moss + PC1_osmotic + PC1_enzyme</t>
  </si>
  <si>
    <t>X2:  ~PC1_Water + PC1_meteorological</t>
  </si>
  <si>
    <t>X3:  ~PC1_geospatial</t>
  </si>
  <si>
    <t>Partition table:</t>
  </si>
  <si>
    <t>Controlling 1 table X</t>
    <phoneticPr fontId="1" type="noConversion"/>
  </si>
  <si>
    <t>plot(rda.vpa, cutoff = -Inf, cex = 1, digits = 2, bg = 2:5, Xnames=c("eco","env","geo"))</t>
  </si>
  <si>
    <t>showvarparts(3, bg=2:4)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</si>
</sst>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b/>
      <sz val="11"/>
      <color rgb="FF1F2328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sz val="11"/>
      <color indexed="8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b/>
      <sz val="11"/>
      <color rgb="FF000000"/>
      <name val="Arial"/>
      <family val="3"/>
    </font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楷体"/>
      <family val="3"/>
      <charset val="134"/>
    </font>
    <font>
      <i/>
      <sz val="12"/>
      <color indexed="8"/>
      <name val="Arial"/>
      <family val="2"/>
    </font>
    <font>
      <i/>
      <sz val="12"/>
      <color indexed="8"/>
      <name val="楷体"/>
      <family val="3"/>
      <charset val="134"/>
    </font>
    <font>
      <b/>
      <sz val="10.5"/>
      <color theme="1"/>
      <name val="楷体"/>
      <family val="3"/>
      <charset val="134"/>
    </font>
    <font>
      <b/>
      <sz val="11"/>
      <name val="Arial"/>
      <family val="2"/>
    </font>
    <font>
      <vertAlign val="subscript"/>
      <sz val="11"/>
      <name val="Arial"/>
      <family val="2"/>
    </font>
    <font>
      <u/>
      <sz val="11"/>
      <color theme="10"/>
      <name val="等线"/>
      <family val="2"/>
      <scheme val="minor"/>
    </font>
    <font>
      <sz val="12"/>
      <name val="楷体"/>
      <family val="3"/>
      <charset val="134"/>
    </font>
    <font>
      <i/>
      <sz val="12"/>
      <name val="楷体"/>
      <family val="3"/>
      <charset val="134"/>
    </font>
    <font>
      <i/>
      <sz val="12"/>
      <name val="Arial"/>
      <family val="2"/>
    </font>
    <font>
      <sz val="11"/>
      <name val="楷体"/>
      <family val="3"/>
      <charset val="134"/>
    </font>
    <font>
      <i/>
      <sz val="11"/>
      <name val="楷体"/>
      <family val="3"/>
      <charset val="134"/>
    </font>
    <font>
      <sz val="11"/>
      <name val="Arial"/>
      <family val="3"/>
    </font>
    <font>
      <u/>
      <sz val="11"/>
      <name val="等线"/>
      <family val="2"/>
      <scheme val="minor"/>
    </font>
    <font>
      <b/>
      <sz val="10.5"/>
      <color theme="1"/>
      <name val="Arial"/>
      <family val="2"/>
    </font>
    <font>
      <b/>
      <sz val="11"/>
      <color rgb="FF1A2029"/>
      <name val="Arial"/>
      <family val="2"/>
    </font>
    <font>
      <b/>
      <sz val="11"/>
      <color rgb="FF404040"/>
      <name val="Arial"/>
      <family val="2"/>
    </font>
    <font>
      <sz val="9"/>
      <name val="等线"/>
      <family val="2"/>
      <charset val="134"/>
      <scheme val="minor"/>
    </font>
    <font>
      <sz val="11"/>
      <color rgb="FF000000"/>
      <name val="Arial"/>
      <family val="2"/>
    </font>
    <font>
      <b/>
      <sz val="11"/>
      <color rgb="FF404040"/>
      <name val="宋体"/>
      <family val="2"/>
      <charset val="134"/>
    </font>
    <font>
      <b/>
      <sz val="11"/>
      <color rgb="FF000000"/>
      <name val="Arial"/>
      <family val="2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vertAlign val="subscript"/>
      <sz val="11"/>
      <color theme="1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DBC249"/>
        <bgColor indexed="64"/>
      </patternFill>
    </fill>
    <fill>
      <patternFill patternType="solid">
        <fgColor rgb="FFF2986A"/>
        <bgColor indexed="64"/>
      </patternFill>
    </fill>
    <fill>
      <patternFill patternType="solid">
        <fgColor rgb="FF3091B2"/>
        <bgColor indexed="64"/>
      </patternFill>
    </fill>
    <fill>
      <patternFill patternType="solid">
        <fgColor rgb="FF854F9C"/>
        <bgColor indexed="64"/>
      </patternFill>
    </fill>
    <fill>
      <patternFill patternType="solid">
        <fgColor rgb="FFAE374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14" fillId="0" borderId="0">
      <alignment vertical="center"/>
    </xf>
    <xf numFmtId="0" fontId="13" fillId="0" borderId="0"/>
    <xf numFmtId="0" fontId="21" fillId="0" borderId="0" applyNumberFormat="0" applyFill="0" applyBorder="0" applyAlignment="0" applyProtection="0"/>
    <xf numFmtId="0" fontId="36" fillId="0" borderId="0" applyNumberFormat="0" applyFill="0" applyBorder="0" applyAlignment="0" applyProtection="0">
      <alignment vertical="center"/>
    </xf>
    <xf numFmtId="0" fontId="37" fillId="0" borderId="1" applyNumberFormat="0" applyFill="0" applyAlignment="0" applyProtection="0">
      <alignment vertical="center"/>
    </xf>
    <xf numFmtId="0" fontId="38" fillId="0" borderId="2" applyNumberFormat="0" applyFill="0" applyAlignment="0" applyProtection="0">
      <alignment vertical="center"/>
    </xf>
    <xf numFmtId="0" fontId="39" fillId="0" borderId="3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3" fillId="17" borderId="4" applyNumberFormat="0" applyAlignment="0" applyProtection="0">
      <alignment vertical="center"/>
    </xf>
    <xf numFmtId="0" fontId="44" fillId="18" borderId="5" applyNumberFormat="0" applyAlignment="0" applyProtection="0">
      <alignment vertical="center"/>
    </xf>
    <xf numFmtId="0" fontId="45" fillId="18" borderId="4" applyNumberFormat="0" applyAlignment="0" applyProtection="0">
      <alignment vertical="center"/>
    </xf>
    <xf numFmtId="0" fontId="46" fillId="0" borderId="6" applyNumberFormat="0" applyFill="0" applyAlignment="0" applyProtection="0">
      <alignment vertical="center"/>
    </xf>
    <xf numFmtId="0" fontId="47" fillId="19" borderId="7" applyNumberForma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1" fillId="37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1" fillId="41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20" borderId="8" applyNumberFormat="0" applyFont="0" applyAlignment="0" applyProtection="0">
      <alignment vertical="center"/>
    </xf>
  </cellStyleXfs>
  <cellXfs count="79"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22" fillId="0" borderId="0" xfId="1" applyFont="1" applyAlignment="1">
      <alignment horizontal="left" vertical="center"/>
    </xf>
    <xf numFmtId="0" fontId="23" fillId="0" borderId="0" xfId="1" applyFont="1" applyAlignment="1">
      <alignment horizontal="left" vertical="center"/>
    </xf>
    <xf numFmtId="0" fontId="25" fillId="0" borderId="0" xfId="1" applyFont="1" applyAlignment="1">
      <alignment horizontal="left" vertical="center"/>
    </xf>
    <xf numFmtId="0" fontId="26" fillId="0" borderId="0" xfId="1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30" fillId="0" borderId="0" xfId="0" applyFont="1" applyAlignment="1">
      <alignment horizontal="left"/>
    </xf>
    <xf numFmtId="0" fontId="5" fillId="7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11" fontId="5" fillId="7" borderId="0" xfId="0" applyNumberFormat="1" applyFont="1" applyFill="1" applyAlignment="1">
      <alignment horizontal="left" vertical="center"/>
    </xf>
    <xf numFmtId="0" fontId="4" fillId="9" borderId="0" xfId="0" applyFont="1" applyFill="1" applyAlignment="1">
      <alignment horizontal="left" vertical="center"/>
    </xf>
    <xf numFmtId="0" fontId="4" fillId="11" borderId="0" xfId="0" applyFont="1" applyFill="1" applyAlignment="1">
      <alignment horizontal="left" vertical="center"/>
    </xf>
    <xf numFmtId="0" fontId="4" fillId="10" borderId="0" xfId="0" applyFont="1" applyFill="1" applyAlignment="1">
      <alignment horizontal="left" vertical="center"/>
    </xf>
    <xf numFmtId="0" fontId="4" fillId="12" borderId="0" xfId="0" applyFont="1" applyFill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/>
    </xf>
    <xf numFmtId="0" fontId="30" fillId="9" borderId="0" xfId="0" applyFont="1" applyFill="1" applyAlignment="1">
      <alignment horizontal="left" vertical="center"/>
    </xf>
    <xf numFmtId="0" fontId="30" fillId="11" borderId="0" xfId="0" applyFont="1" applyFill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49" fontId="5" fillId="0" borderId="0" xfId="0" quotePrefix="1" applyNumberFormat="1" applyFont="1" applyAlignment="1">
      <alignment horizontal="left" vertical="center"/>
    </xf>
    <xf numFmtId="49" fontId="11" fillId="0" borderId="0" xfId="0" applyNumberFormat="1" applyFont="1" applyAlignment="1">
      <alignment horizontal="left" vertical="center"/>
    </xf>
    <xf numFmtId="0" fontId="11" fillId="0" borderId="0" xfId="0" applyFont="1" applyAlignment="1">
      <alignment vertical="center"/>
    </xf>
    <xf numFmtId="9" fontId="5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11" fontId="5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24" fillId="0" borderId="0" xfId="1" applyFont="1" applyAlignment="1">
      <alignment horizontal="left" vertical="center"/>
    </xf>
    <xf numFmtId="0" fontId="28" fillId="0" borderId="0" xfId="3" applyFont="1" applyFill="1" applyAlignment="1">
      <alignment horizontal="left"/>
    </xf>
    <xf numFmtId="0" fontId="15" fillId="0" borderId="0" xfId="0" applyFont="1" applyAlignment="1">
      <alignment horizontal="left" vertical="center"/>
    </xf>
    <xf numFmtId="0" fontId="16" fillId="0" borderId="0" xfId="1" applyFont="1" applyAlignment="1">
      <alignment horizontal="left" vertical="center"/>
    </xf>
    <xf numFmtId="0" fontId="5" fillId="9" borderId="0" xfId="0" applyFont="1" applyFill="1" applyAlignment="1">
      <alignment horizontal="left" vertical="center"/>
    </xf>
    <xf numFmtId="0" fontId="5" fillId="11" borderId="0" xfId="0" applyFont="1" applyFill="1" applyAlignment="1">
      <alignment horizontal="left" vertical="center"/>
    </xf>
    <xf numFmtId="0" fontId="5" fillId="4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7" borderId="0" xfId="0" applyFont="1" applyFill="1" applyAlignment="1">
      <alignment horizontal="left" vertical="center"/>
    </xf>
    <xf numFmtId="0" fontId="4" fillId="9" borderId="0" xfId="0" applyFont="1" applyFill="1" applyAlignment="1">
      <alignment horizontal="left" vertical="center" wrapText="1"/>
    </xf>
    <xf numFmtId="0" fontId="5" fillId="9" borderId="0" xfId="0" applyFont="1" applyFill="1" applyAlignment="1">
      <alignment horizontal="left" vertical="center" wrapText="1"/>
    </xf>
    <xf numFmtId="0" fontId="4" fillId="11" borderId="0" xfId="0" applyFont="1" applyFill="1" applyAlignment="1">
      <alignment horizontal="left" vertical="center" wrapText="1"/>
    </xf>
    <xf numFmtId="0" fontId="4" fillId="10" borderId="0" xfId="0" applyFont="1" applyFill="1" applyAlignment="1">
      <alignment horizontal="left" vertical="center" wrapText="1"/>
    </xf>
    <xf numFmtId="0" fontId="5" fillId="10" borderId="0" xfId="0" applyFont="1" applyFill="1" applyAlignment="1">
      <alignment horizontal="left" vertical="center" wrapText="1"/>
    </xf>
    <xf numFmtId="0" fontId="5" fillId="9" borderId="0" xfId="0" applyFont="1" applyFill="1" applyAlignment="1">
      <alignment horizontal="left" vertical="center"/>
    </xf>
    <xf numFmtId="0" fontId="5" fillId="11" borderId="0" xfId="0" applyFont="1" applyFill="1" applyAlignment="1">
      <alignment horizontal="left" vertical="center"/>
    </xf>
    <xf numFmtId="0" fontId="5" fillId="10" borderId="0" xfId="0" applyFont="1" applyFill="1" applyAlignment="1">
      <alignment horizontal="left" vertical="center"/>
    </xf>
    <xf numFmtId="0" fontId="5" fillId="12" borderId="0" xfId="0" applyFont="1" applyFill="1" applyAlignment="1">
      <alignment horizontal="left" vertical="center"/>
    </xf>
    <xf numFmtId="0" fontId="5" fillId="13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11" borderId="0" xfId="0" applyFont="1" applyFill="1" applyAlignment="1">
      <alignment horizontal="left" vertical="center" wrapText="1"/>
    </xf>
    <xf numFmtId="0" fontId="33" fillId="0" borderId="0" xfId="0" applyFont="1" applyAlignment="1">
      <alignment horizontal="left" vertical="center"/>
    </xf>
    <xf numFmtId="0" fontId="4" fillId="11" borderId="0" xfId="0" applyFont="1" applyFill="1" applyAlignment="1">
      <alignment horizontal="left" vertical="center"/>
    </xf>
    <xf numFmtId="0" fontId="4" fillId="10" borderId="0" xfId="0" applyFont="1" applyFill="1" applyAlignment="1">
      <alignment horizontal="left" vertical="center"/>
    </xf>
    <xf numFmtId="0" fontId="4" fillId="9" borderId="0" xfId="0" applyFont="1" applyFill="1" applyAlignment="1">
      <alignment horizontal="left" vertical="center"/>
    </xf>
    <xf numFmtId="0" fontId="4" fillId="1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8" borderId="0" xfId="0" applyFont="1" applyFill="1" applyAlignment="1">
      <alignment horizontal="left" vertical="center"/>
    </xf>
  </cellXfs>
  <cellStyles count="46">
    <cellStyle name="20% - 着色 1" xfId="21" builtinId="30" customBuiltin="1"/>
    <cellStyle name="20% - 着色 2" xfId="25" builtinId="34" customBuiltin="1"/>
    <cellStyle name="20% - 着色 3" xfId="29" builtinId="38" customBuiltin="1"/>
    <cellStyle name="20% - 着色 4" xfId="33" builtinId="42" customBuiltin="1"/>
    <cellStyle name="20% - 着色 5" xfId="37" builtinId="46" customBuiltin="1"/>
    <cellStyle name="20% - 着色 6" xfId="41" builtinId="50" customBuiltin="1"/>
    <cellStyle name="40% - 着色 1" xfId="22" builtinId="31" customBuiltin="1"/>
    <cellStyle name="40% - 着色 2" xfId="26" builtinId="35" customBuiltin="1"/>
    <cellStyle name="40% - 着色 3" xfId="30" builtinId="39" customBuiltin="1"/>
    <cellStyle name="40% - 着色 4" xfId="34" builtinId="43" customBuiltin="1"/>
    <cellStyle name="40% - 着色 5" xfId="38" builtinId="47" customBuiltin="1"/>
    <cellStyle name="40% - 着色 6" xfId="42" builtinId="51" customBuiltin="1"/>
    <cellStyle name="60% - 着色 1" xfId="23" builtinId="32" customBuiltin="1"/>
    <cellStyle name="60% - 着色 2" xfId="27" builtinId="36" customBuiltin="1"/>
    <cellStyle name="60% - 着色 3" xfId="31" builtinId="40" customBuiltin="1"/>
    <cellStyle name="60% - 着色 4" xfId="35" builtinId="44" customBuiltin="1"/>
    <cellStyle name="60% - 着色 5" xfId="39" builtinId="48" customBuiltin="1"/>
    <cellStyle name="60% - 着色 6" xfId="43" builtinId="52" customBuiltin="1"/>
    <cellStyle name="标题" xfId="4" builtinId="15" customBuiltin="1"/>
    <cellStyle name="标题 1" xfId="5" builtinId="16" customBuiltin="1"/>
    <cellStyle name="标题 2" xfId="6" builtinId="17" customBuiltin="1"/>
    <cellStyle name="标题 3" xfId="7" builtinId="18" customBuiltin="1"/>
    <cellStyle name="标题 4" xfId="8" builtinId="19" customBuiltin="1"/>
    <cellStyle name="差" xfId="10" builtinId="27" customBuiltin="1"/>
    <cellStyle name="常规" xfId="0" builtinId="0"/>
    <cellStyle name="常规 2" xfId="1" xr:uid="{0C62A154-7D88-4BFD-896B-E4E1B723EF44}"/>
    <cellStyle name="常规 3" xfId="2" xr:uid="{5A0189B7-D2EF-4C06-8092-C72C624E81C6}"/>
    <cellStyle name="常规 4" xfId="44" xr:uid="{DA9EAD34-D828-40B8-BF69-7E248E1CFF3B}"/>
    <cellStyle name="超链接" xfId="3" builtinId="8"/>
    <cellStyle name="好" xfId="9" builtinId="26" customBuiltin="1"/>
    <cellStyle name="汇总" xfId="19" builtinId="25" customBuiltin="1"/>
    <cellStyle name="计算" xfId="14" builtinId="22" customBuiltin="1"/>
    <cellStyle name="检查单元格" xfId="16" builtinId="23" customBuiltin="1"/>
    <cellStyle name="解释性文本" xfId="18" builtinId="53" customBuiltin="1"/>
    <cellStyle name="警告文本" xfId="17" builtinId="11" customBuiltin="1"/>
    <cellStyle name="链接单元格" xfId="15" builtinId="24" customBuiltin="1"/>
    <cellStyle name="适中" xfId="11" builtinId="28" customBuiltin="1"/>
    <cellStyle name="输出" xfId="13" builtinId="21" customBuiltin="1"/>
    <cellStyle name="输入" xfId="12" builtinId="20" customBuiltin="1"/>
    <cellStyle name="着色 1" xfId="20" builtinId="29" customBuiltin="1"/>
    <cellStyle name="着色 2" xfId="24" builtinId="33" customBuiltin="1"/>
    <cellStyle name="着色 3" xfId="28" builtinId="37" customBuiltin="1"/>
    <cellStyle name="着色 4" xfId="32" builtinId="41" customBuiltin="1"/>
    <cellStyle name="着色 5" xfId="36" builtinId="45" customBuiltin="1"/>
    <cellStyle name="着色 6" xfId="40" builtinId="49" customBuiltin="1"/>
    <cellStyle name="注释 2" xfId="45" xr:uid="{4F60C227-9725-443E-B818-9C0F2873ED79}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Medium2" defaultPivotStyle="PivotStyleLight16">
    <tableStyle name="TableStylePreset3_Accent1" pivot="0" count="7" xr9:uid="{D33F3A70-641A-41EE-8A2B-FB9A0659BC1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E5F3E13A-7225-4BCF-81E5-E5D8039631F1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AE374E"/>
      <color rgb="FF854F9C"/>
      <color rgb="FF3091B2"/>
      <color rgb="FFF2986A"/>
      <color rgb="FFDBC24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DE42D-993F-44D8-A963-D4CDA92B5177}">
  <dimension ref="A1:AK51"/>
  <sheetViews>
    <sheetView tabSelected="1" zoomScale="85" zoomScaleNormal="85" workbookViewId="0">
      <pane xSplit="7" ySplit="1" topLeftCell="AB2" activePane="bottomRight" state="frozen"/>
      <selection pane="topRight" activeCell="E1" sqref="E1"/>
      <selection pane="bottomLeft" activeCell="A2" sqref="A2"/>
      <selection pane="bottomRight" activeCell="AN7" sqref="AN7"/>
    </sheetView>
  </sheetViews>
  <sheetFormatPr defaultColWidth="8.640625" defaultRowHeight="16" customHeight="1" x14ac:dyDescent="0.35"/>
  <cols>
    <col min="1" max="1" width="7.5703125" style="2" customWidth="1"/>
    <col min="2" max="2" width="18.7109375" style="3" customWidth="1"/>
    <col min="3" max="3" width="26.78515625" style="2" customWidth="1"/>
    <col min="4" max="4" width="20.85546875" style="2" customWidth="1"/>
    <col min="5" max="5" width="9.5703125" style="49" customWidth="1"/>
    <col min="6" max="6" width="10.85546875" style="49" customWidth="1"/>
    <col min="7" max="7" width="17.5" style="3" customWidth="1"/>
    <col min="8" max="32" width="8.640625" style="2"/>
    <col min="33" max="33" width="9.2109375" style="2" customWidth="1"/>
    <col min="34" max="34" width="8.640625" style="2"/>
    <col min="35" max="35" width="9.85546875" style="2" customWidth="1"/>
    <col min="36" max="36" width="15.7109375" style="2" customWidth="1"/>
    <col min="37" max="37" width="10" style="2" customWidth="1"/>
    <col min="38" max="16384" width="8.640625" style="2"/>
  </cols>
  <sheetData>
    <row r="1" spans="1:37" s="1" customFormat="1" ht="16" customHeight="1" x14ac:dyDescent="0.35">
      <c r="A1" s="7" t="s">
        <v>98</v>
      </c>
      <c r="B1" s="7" t="s">
        <v>99</v>
      </c>
      <c r="C1" s="7" t="s">
        <v>97</v>
      </c>
      <c r="D1" s="1" t="s">
        <v>23</v>
      </c>
      <c r="E1" s="7" t="s">
        <v>280</v>
      </c>
      <c r="F1" s="7" t="s">
        <v>279</v>
      </c>
      <c r="G1" s="7" t="s">
        <v>214</v>
      </c>
      <c r="H1" s="11" t="s">
        <v>254</v>
      </c>
      <c r="I1" s="11" t="s">
        <v>255</v>
      </c>
      <c r="J1" s="11" t="s">
        <v>256</v>
      </c>
      <c r="K1" s="11" t="s">
        <v>257</v>
      </c>
      <c r="L1" s="11" t="s">
        <v>258</v>
      </c>
      <c r="M1" s="12" t="s">
        <v>259</v>
      </c>
      <c r="N1" s="12" t="s">
        <v>260</v>
      </c>
      <c r="O1" s="12" t="s">
        <v>261</v>
      </c>
      <c r="P1" s="12" t="s">
        <v>262</v>
      </c>
      <c r="Q1" s="12" t="s">
        <v>263</v>
      </c>
      <c r="R1" s="13" t="s">
        <v>264</v>
      </c>
      <c r="S1" s="13" t="s">
        <v>265</v>
      </c>
      <c r="T1" s="13" t="s">
        <v>266</v>
      </c>
      <c r="U1" s="13" t="s">
        <v>267</v>
      </c>
      <c r="V1" s="13" t="s">
        <v>268</v>
      </c>
      <c r="W1" s="14" t="s">
        <v>269</v>
      </c>
      <c r="X1" s="14" t="s">
        <v>270</v>
      </c>
      <c r="Y1" s="14" t="s">
        <v>271</v>
      </c>
      <c r="Z1" s="14" t="s">
        <v>272</v>
      </c>
      <c r="AA1" s="14" t="s">
        <v>273</v>
      </c>
      <c r="AB1" s="15" t="s">
        <v>274</v>
      </c>
      <c r="AC1" s="15" t="s">
        <v>275</v>
      </c>
      <c r="AD1" s="15" t="s">
        <v>276</v>
      </c>
      <c r="AE1" s="15" t="s">
        <v>277</v>
      </c>
      <c r="AF1" s="15" t="s">
        <v>278</v>
      </c>
      <c r="AG1" s="1" t="s">
        <v>124</v>
      </c>
      <c r="AH1" s="1" t="s">
        <v>125</v>
      </c>
      <c r="AI1" s="10" t="s">
        <v>177</v>
      </c>
      <c r="AJ1" s="1" t="s">
        <v>181</v>
      </c>
      <c r="AK1" s="10" t="s">
        <v>253</v>
      </c>
    </row>
    <row r="2" spans="1:37" s="17" customFormat="1" ht="16" customHeight="1" x14ac:dyDescent="0.35">
      <c r="A2" s="17" t="s">
        <v>69</v>
      </c>
      <c r="B2" s="4" t="s">
        <v>79</v>
      </c>
      <c r="C2" s="4" t="s">
        <v>404</v>
      </c>
      <c r="D2" s="4" t="s">
        <v>127</v>
      </c>
      <c r="E2" s="18" t="s">
        <v>395</v>
      </c>
      <c r="F2" s="19" t="s">
        <v>358</v>
      </c>
      <c r="G2" s="47" t="s">
        <v>405</v>
      </c>
      <c r="U2" s="17">
        <v>0.01</v>
      </c>
      <c r="Y2" s="17">
        <v>0.06</v>
      </c>
      <c r="Z2" s="17">
        <v>0.1</v>
      </c>
      <c r="AE2" s="17">
        <v>0.02</v>
      </c>
      <c r="AG2" s="17">
        <f>SUM(H2:AF2)/SUM($H$2:$AF$42)*100</f>
        <v>0.76000000000000101</v>
      </c>
      <c r="AH2" s="17">
        <f>COUNTA(H2:AF2)/25*100</f>
        <v>16</v>
      </c>
      <c r="AI2" s="17" t="s">
        <v>178</v>
      </c>
      <c r="AJ2" s="17" t="s">
        <v>182</v>
      </c>
      <c r="AK2" s="17" t="s">
        <v>188</v>
      </c>
    </row>
    <row r="3" spans="1:37" s="17" customFormat="1" ht="16" customHeight="1" x14ac:dyDescent="0.35">
      <c r="B3" s="4"/>
      <c r="C3" s="4" t="s">
        <v>406</v>
      </c>
      <c r="D3" s="4" t="s">
        <v>128</v>
      </c>
      <c r="E3" s="20" t="s">
        <v>216</v>
      </c>
      <c r="F3" s="21"/>
      <c r="G3" s="47" t="s">
        <v>407</v>
      </c>
      <c r="Y3" s="17">
        <v>0.04</v>
      </c>
      <c r="Z3" s="17">
        <v>0.1</v>
      </c>
      <c r="AG3" s="17">
        <f t="shared" ref="AG3:AG42" si="0">SUM(H3:AF3)/SUM($H$2:$AF$42)*100</f>
        <v>0.56000000000000005</v>
      </c>
      <c r="AH3" s="17">
        <f t="shared" ref="AH3:AH42" si="1">COUNTA(H3:AF3)/25*100</f>
        <v>8</v>
      </c>
      <c r="AI3" s="17" t="s">
        <v>178</v>
      </c>
      <c r="AJ3" s="22" t="s">
        <v>187</v>
      </c>
      <c r="AK3" s="17" t="s">
        <v>188</v>
      </c>
    </row>
    <row r="4" spans="1:37" s="17" customFormat="1" ht="15.9" customHeight="1" x14ac:dyDescent="0.35">
      <c r="B4" s="4"/>
      <c r="C4" s="4" t="s">
        <v>408</v>
      </c>
      <c r="D4" s="4" t="s">
        <v>129</v>
      </c>
      <c r="E4" s="20" t="s">
        <v>216</v>
      </c>
      <c r="F4" s="21"/>
      <c r="G4" s="47" t="s">
        <v>409</v>
      </c>
      <c r="X4" s="17">
        <v>0.05</v>
      </c>
      <c r="Z4" s="17">
        <v>0.15</v>
      </c>
      <c r="AA4" s="17">
        <v>0.06</v>
      </c>
      <c r="AG4" s="17">
        <f t="shared" si="0"/>
        <v>1.04</v>
      </c>
      <c r="AH4" s="17">
        <f t="shared" si="1"/>
        <v>12</v>
      </c>
      <c r="AI4" s="17" t="s">
        <v>178</v>
      </c>
      <c r="AJ4" s="17" t="s">
        <v>182</v>
      </c>
      <c r="AK4" s="17" t="s">
        <v>189</v>
      </c>
    </row>
    <row r="5" spans="1:37" s="17" customFormat="1" ht="16" customHeight="1" x14ac:dyDescent="0.35">
      <c r="B5" s="48"/>
      <c r="C5" s="4" t="s">
        <v>410</v>
      </c>
      <c r="D5" s="4" t="s">
        <v>130</v>
      </c>
      <c r="E5" s="20" t="s">
        <v>216</v>
      </c>
      <c r="F5" s="19" t="s">
        <v>359</v>
      </c>
      <c r="G5" s="47" t="s">
        <v>411</v>
      </c>
      <c r="I5" s="17">
        <v>0.2</v>
      </c>
      <c r="J5" s="17">
        <v>0.3</v>
      </c>
      <c r="K5" s="17">
        <v>0.01</v>
      </c>
      <c r="N5" s="17">
        <v>0.01</v>
      </c>
      <c r="O5" s="17">
        <v>3.5999999999999997E-2</v>
      </c>
      <c r="T5" s="17">
        <v>0.03</v>
      </c>
      <c r="U5" s="17">
        <v>0.2</v>
      </c>
      <c r="AA5" s="17">
        <v>0.66</v>
      </c>
      <c r="AG5" s="17">
        <f t="shared" si="0"/>
        <v>5.7840000000000096</v>
      </c>
      <c r="AH5" s="17">
        <f t="shared" si="1"/>
        <v>32</v>
      </c>
      <c r="AI5" s="17" t="s">
        <v>179</v>
      </c>
      <c r="AJ5" s="22" t="s">
        <v>186</v>
      </c>
      <c r="AK5" s="17" t="s">
        <v>190</v>
      </c>
    </row>
    <row r="6" spans="1:37" s="17" customFormat="1" ht="16" customHeight="1" x14ac:dyDescent="0.35">
      <c r="A6" s="17" t="s">
        <v>70</v>
      </c>
      <c r="B6" s="4" t="s">
        <v>80</v>
      </c>
      <c r="C6" s="4" t="s">
        <v>412</v>
      </c>
      <c r="D6" s="4" t="s">
        <v>131</v>
      </c>
      <c r="E6" s="18" t="s">
        <v>396</v>
      </c>
      <c r="F6" s="19" t="s">
        <v>360</v>
      </c>
      <c r="G6" s="47" t="s">
        <v>413</v>
      </c>
      <c r="Q6" s="17">
        <v>0.15</v>
      </c>
      <c r="AG6" s="17">
        <f t="shared" si="0"/>
        <v>0.6</v>
      </c>
      <c r="AH6" s="17">
        <f t="shared" si="1"/>
        <v>4</v>
      </c>
      <c r="AI6" s="17" t="s">
        <v>179</v>
      </c>
      <c r="AJ6" s="17" t="s">
        <v>182</v>
      </c>
      <c r="AK6" s="17" t="s">
        <v>188</v>
      </c>
    </row>
    <row r="7" spans="1:37" s="17" customFormat="1" ht="16" customHeight="1" x14ac:dyDescent="0.35">
      <c r="B7" s="4"/>
      <c r="C7" s="4" t="s">
        <v>414</v>
      </c>
      <c r="D7" s="4" t="s">
        <v>132</v>
      </c>
      <c r="E7" s="20" t="s">
        <v>216</v>
      </c>
      <c r="F7" s="21"/>
      <c r="G7" s="47" t="s">
        <v>415</v>
      </c>
      <c r="N7" s="17">
        <v>0.01</v>
      </c>
      <c r="O7" s="17">
        <v>0.02</v>
      </c>
      <c r="P7" s="17">
        <v>0.09</v>
      </c>
      <c r="S7" s="17">
        <v>0.01</v>
      </c>
      <c r="AG7" s="17">
        <f t="shared" si="0"/>
        <v>0.52</v>
      </c>
      <c r="AH7" s="17">
        <f t="shared" si="1"/>
        <v>16</v>
      </c>
      <c r="AI7" s="17" t="s">
        <v>178</v>
      </c>
      <c r="AJ7" s="17" t="s">
        <v>182</v>
      </c>
      <c r="AK7" s="17" t="s">
        <v>188</v>
      </c>
    </row>
    <row r="8" spans="1:37" s="17" customFormat="1" ht="16" customHeight="1" x14ac:dyDescent="0.35">
      <c r="B8" s="4" t="s">
        <v>81</v>
      </c>
      <c r="C8" s="4" t="s">
        <v>416</v>
      </c>
      <c r="D8" s="4" t="s">
        <v>133</v>
      </c>
      <c r="E8" s="20" t="s">
        <v>216</v>
      </c>
      <c r="F8" s="19" t="s">
        <v>361</v>
      </c>
      <c r="G8" s="47" t="s">
        <v>417</v>
      </c>
      <c r="M8" s="17">
        <v>0.02</v>
      </c>
      <c r="Q8" s="17">
        <v>0.14000000000000001</v>
      </c>
      <c r="AG8" s="17">
        <f t="shared" si="0"/>
        <v>0.64000000000000101</v>
      </c>
      <c r="AH8" s="17">
        <f t="shared" si="1"/>
        <v>8</v>
      </c>
      <c r="AI8" s="17" t="s">
        <v>179</v>
      </c>
      <c r="AJ8" s="17" t="s">
        <v>182</v>
      </c>
      <c r="AK8" s="17" t="s">
        <v>188</v>
      </c>
    </row>
    <row r="9" spans="1:37" s="17" customFormat="1" ht="16" customHeight="1" x14ac:dyDescent="0.35">
      <c r="B9" s="4"/>
      <c r="C9" s="4" t="s">
        <v>418</v>
      </c>
      <c r="D9" s="4" t="s">
        <v>134</v>
      </c>
      <c r="E9" s="20" t="s">
        <v>216</v>
      </c>
      <c r="F9" s="21"/>
      <c r="G9" s="47" t="s">
        <v>419</v>
      </c>
      <c r="R9" s="17">
        <v>4.5999999999999999E-2</v>
      </c>
      <c r="S9" s="17">
        <v>0.03</v>
      </c>
      <c r="AG9" s="17">
        <f t="shared" si="0"/>
        <v>0.30399999999999999</v>
      </c>
      <c r="AH9" s="17">
        <f t="shared" si="1"/>
        <v>8</v>
      </c>
      <c r="AI9" s="17" t="s">
        <v>179</v>
      </c>
      <c r="AJ9" s="17" t="s">
        <v>182</v>
      </c>
      <c r="AK9" s="17" t="s">
        <v>188</v>
      </c>
    </row>
    <row r="10" spans="1:37" s="17" customFormat="1" ht="16" customHeight="1" x14ac:dyDescent="0.35">
      <c r="B10" s="4" t="s">
        <v>82</v>
      </c>
      <c r="C10" s="4" t="s">
        <v>420</v>
      </c>
      <c r="D10" s="4" t="s">
        <v>135</v>
      </c>
      <c r="E10" s="20" t="s">
        <v>216</v>
      </c>
      <c r="F10" s="19" t="s">
        <v>362</v>
      </c>
      <c r="G10" s="47" t="s">
        <v>421</v>
      </c>
      <c r="Q10" s="17">
        <v>0.1</v>
      </c>
      <c r="S10" s="17">
        <v>0.04</v>
      </c>
      <c r="AG10" s="17">
        <f t="shared" si="0"/>
        <v>0.56000000000000005</v>
      </c>
      <c r="AH10" s="17">
        <f t="shared" si="1"/>
        <v>8</v>
      </c>
      <c r="AI10" s="17" t="s">
        <v>179</v>
      </c>
      <c r="AJ10" s="22" t="s">
        <v>185</v>
      </c>
      <c r="AK10" s="17" t="s">
        <v>188</v>
      </c>
    </row>
    <row r="11" spans="1:37" s="17" customFormat="1" ht="16" customHeight="1" x14ac:dyDescent="0.35">
      <c r="B11" s="4"/>
      <c r="C11" s="4" t="s">
        <v>422</v>
      </c>
      <c r="D11" s="4" t="s">
        <v>136</v>
      </c>
      <c r="E11" s="20" t="s">
        <v>216</v>
      </c>
      <c r="F11" s="21"/>
      <c r="G11" s="47" t="s">
        <v>423</v>
      </c>
      <c r="M11" s="17">
        <v>0.04</v>
      </c>
      <c r="N11" s="17">
        <v>0.01</v>
      </c>
      <c r="P11" s="17">
        <v>0.01</v>
      </c>
      <c r="Q11" s="17">
        <v>0.09</v>
      </c>
      <c r="AG11" s="17">
        <f t="shared" si="0"/>
        <v>0.6</v>
      </c>
      <c r="AH11" s="17">
        <f t="shared" si="1"/>
        <v>16</v>
      </c>
      <c r="AI11" s="17" t="s">
        <v>179</v>
      </c>
      <c r="AJ11" s="22" t="s">
        <v>186</v>
      </c>
      <c r="AK11" s="17" t="s">
        <v>188</v>
      </c>
    </row>
    <row r="12" spans="1:37" s="17" customFormat="1" ht="16" customHeight="1" x14ac:dyDescent="0.35">
      <c r="A12" s="17" t="s">
        <v>71</v>
      </c>
      <c r="B12" s="4" t="s">
        <v>83</v>
      </c>
      <c r="C12" s="4" t="s">
        <v>424</v>
      </c>
      <c r="D12" s="4" t="s">
        <v>137</v>
      </c>
      <c r="E12" s="18" t="s">
        <v>397</v>
      </c>
      <c r="F12" s="19" t="s">
        <v>363</v>
      </c>
      <c r="G12" s="47" t="s">
        <v>425</v>
      </c>
      <c r="M12" s="17">
        <v>0.08</v>
      </c>
      <c r="AG12" s="17">
        <f t="shared" si="0"/>
        <v>0.32</v>
      </c>
      <c r="AH12" s="17">
        <f t="shared" si="1"/>
        <v>4</v>
      </c>
      <c r="AI12" s="17" t="s">
        <v>178</v>
      </c>
      <c r="AJ12" s="22" t="s">
        <v>183</v>
      </c>
      <c r="AK12" s="17" t="s">
        <v>188</v>
      </c>
    </row>
    <row r="13" spans="1:37" s="17" customFormat="1" ht="16" customHeight="1" x14ac:dyDescent="0.35">
      <c r="B13" s="4" t="s">
        <v>84</v>
      </c>
      <c r="C13" s="4" t="s">
        <v>426</v>
      </c>
      <c r="D13" s="4" t="s">
        <v>139</v>
      </c>
      <c r="E13" s="20" t="s">
        <v>216</v>
      </c>
      <c r="F13" s="19" t="s">
        <v>364</v>
      </c>
      <c r="G13" s="47" t="s">
        <v>427</v>
      </c>
      <c r="K13" s="17">
        <v>0.2</v>
      </c>
      <c r="M13" s="17">
        <v>0.14000000000000001</v>
      </c>
      <c r="AG13" s="17">
        <f t="shared" si="0"/>
        <v>1.36</v>
      </c>
      <c r="AH13" s="17">
        <f t="shared" si="1"/>
        <v>8</v>
      </c>
      <c r="AI13" s="17" t="s">
        <v>179</v>
      </c>
      <c r="AJ13" s="22" t="s">
        <v>185</v>
      </c>
      <c r="AK13" s="17" t="s">
        <v>188</v>
      </c>
    </row>
    <row r="14" spans="1:37" s="17" customFormat="1" ht="16" customHeight="1" x14ac:dyDescent="0.35">
      <c r="B14" s="4"/>
      <c r="C14" s="4" t="s">
        <v>126</v>
      </c>
      <c r="D14" s="4" t="s">
        <v>140</v>
      </c>
      <c r="E14" s="20" t="s">
        <v>216</v>
      </c>
      <c r="F14" s="21"/>
      <c r="G14" s="47" t="s">
        <v>428</v>
      </c>
      <c r="T14" s="17">
        <v>0.24</v>
      </c>
      <c r="AG14" s="17">
        <f t="shared" si="0"/>
        <v>0.96000000000000096</v>
      </c>
      <c r="AH14" s="17">
        <f t="shared" si="1"/>
        <v>4</v>
      </c>
      <c r="AI14" s="17" t="s">
        <v>178</v>
      </c>
      <c r="AJ14" s="22" t="s">
        <v>187</v>
      </c>
      <c r="AK14" s="17" t="s">
        <v>188</v>
      </c>
    </row>
    <row r="15" spans="1:37" s="17" customFormat="1" ht="16" customHeight="1" x14ac:dyDescent="0.35">
      <c r="B15" s="4" t="s">
        <v>85</v>
      </c>
      <c r="C15" s="4" t="s">
        <v>429</v>
      </c>
      <c r="D15" s="4" t="s">
        <v>141</v>
      </c>
      <c r="E15" s="20" t="s">
        <v>216</v>
      </c>
      <c r="F15" s="19" t="s">
        <v>365</v>
      </c>
      <c r="G15" s="47" t="s">
        <v>430</v>
      </c>
      <c r="L15" s="17">
        <v>0.04</v>
      </c>
      <c r="M15" s="17">
        <v>0.02</v>
      </c>
      <c r="P15" s="17">
        <v>0.16</v>
      </c>
      <c r="R15" s="17">
        <v>0.02</v>
      </c>
      <c r="S15" s="17">
        <v>0.01</v>
      </c>
      <c r="Z15" s="17">
        <v>0.02</v>
      </c>
      <c r="AG15" s="17">
        <f t="shared" si="0"/>
        <v>1.08</v>
      </c>
      <c r="AH15" s="17">
        <f t="shared" si="1"/>
        <v>24</v>
      </c>
      <c r="AI15" s="17" t="s">
        <v>179</v>
      </c>
      <c r="AJ15" s="22" t="s">
        <v>186</v>
      </c>
      <c r="AK15" s="17" t="s">
        <v>188</v>
      </c>
    </row>
    <row r="16" spans="1:37" s="17" customFormat="1" ht="16" customHeight="1" x14ac:dyDescent="0.35">
      <c r="B16" s="4" t="s">
        <v>86</v>
      </c>
      <c r="C16" s="4" t="s">
        <v>431</v>
      </c>
      <c r="D16" s="4" t="s">
        <v>142</v>
      </c>
      <c r="E16" s="20" t="s">
        <v>216</v>
      </c>
      <c r="F16" s="19" t="s">
        <v>366</v>
      </c>
      <c r="G16" s="47" t="s">
        <v>432</v>
      </c>
      <c r="R16" s="17">
        <v>7.0000000000000007E-2</v>
      </c>
      <c r="S16" s="17">
        <v>0.01</v>
      </c>
      <c r="W16" s="17">
        <v>0.04</v>
      </c>
      <c r="AC16" s="17">
        <v>0.03</v>
      </c>
      <c r="AG16" s="17">
        <f t="shared" si="0"/>
        <v>0.6</v>
      </c>
      <c r="AH16" s="17">
        <f t="shared" si="1"/>
        <v>16</v>
      </c>
      <c r="AI16" s="17" t="s">
        <v>178</v>
      </c>
      <c r="AJ16" s="22" t="s">
        <v>185</v>
      </c>
      <c r="AK16" s="17" t="s">
        <v>188</v>
      </c>
    </row>
    <row r="17" spans="1:37" s="17" customFormat="1" ht="16" customHeight="1" x14ac:dyDescent="0.35">
      <c r="B17" s="4"/>
      <c r="C17" s="4" t="s">
        <v>433</v>
      </c>
      <c r="D17" s="4" t="s">
        <v>143</v>
      </c>
      <c r="E17" s="20" t="s">
        <v>216</v>
      </c>
      <c r="F17" s="21"/>
      <c r="G17" s="47" t="s">
        <v>434</v>
      </c>
      <c r="Y17" s="17">
        <v>0.06</v>
      </c>
      <c r="AC17" s="17">
        <v>0.03</v>
      </c>
      <c r="AG17" s="17">
        <f t="shared" si="0"/>
        <v>0.36</v>
      </c>
      <c r="AH17" s="17">
        <f t="shared" si="1"/>
        <v>8</v>
      </c>
      <c r="AI17" s="17" t="s">
        <v>178</v>
      </c>
      <c r="AJ17" s="22" t="s">
        <v>187</v>
      </c>
      <c r="AK17" s="17" t="s">
        <v>188</v>
      </c>
    </row>
    <row r="18" spans="1:37" s="17" customFormat="1" ht="16" customHeight="1" x14ac:dyDescent="0.35">
      <c r="A18" s="17" t="s">
        <v>72</v>
      </c>
      <c r="B18" s="4" t="s">
        <v>87</v>
      </c>
      <c r="C18" s="4" t="s">
        <v>435</v>
      </c>
      <c r="D18" s="4" t="s">
        <v>144</v>
      </c>
      <c r="E18" s="20" t="s">
        <v>375</v>
      </c>
      <c r="F18" s="19" t="s">
        <v>367</v>
      </c>
      <c r="G18" s="47" t="s">
        <v>436</v>
      </c>
      <c r="M18" s="17">
        <v>0.1</v>
      </c>
      <c r="X18" s="17">
        <v>0.2</v>
      </c>
      <c r="AG18" s="17">
        <f t="shared" si="0"/>
        <v>1.2</v>
      </c>
      <c r="AH18" s="17">
        <f t="shared" si="1"/>
        <v>8</v>
      </c>
      <c r="AI18" s="17" t="s">
        <v>178</v>
      </c>
      <c r="AJ18" s="22" t="s">
        <v>185</v>
      </c>
      <c r="AK18" s="17" t="s">
        <v>188</v>
      </c>
    </row>
    <row r="19" spans="1:37" s="17" customFormat="1" ht="16" customHeight="1" x14ac:dyDescent="0.35">
      <c r="B19" s="4"/>
      <c r="C19" s="4" t="s">
        <v>437</v>
      </c>
      <c r="D19" s="4" t="s">
        <v>145</v>
      </c>
      <c r="E19" s="20" t="s">
        <v>216</v>
      </c>
      <c r="F19" s="21"/>
      <c r="G19" s="47" t="s">
        <v>438</v>
      </c>
      <c r="R19" s="17">
        <v>0.06</v>
      </c>
      <c r="S19" s="17">
        <v>0.06</v>
      </c>
      <c r="T19" s="17">
        <v>0.06</v>
      </c>
      <c r="V19" s="17">
        <v>0.1</v>
      </c>
      <c r="Y19" s="17">
        <v>0.02</v>
      </c>
      <c r="Z19" s="17">
        <v>0.08</v>
      </c>
      <c r="AG19" s="17">
        <f t="shared" si="0"/>
        <v>1.52</v>
      </c>
      <c r="AH19" s="17">
        <f t="shared" si="1"/>
        <v>24</v>
      </c>
      <c r="AI19" s="17" t="s">
        <v>178</v>
      </c>
      <c r="AJ19" s="22" t="s">
        <v>186</v>
      </c>
      <c r="AK19" s="17" t="s">
        <v>188</v>
      </c>
    </row>
    <row r="20" spans="1:37" s="17" customFormat="1" ht="16" customHeight="1" x14ac:dyDescent="0.35">
      <c r="B20" s="4"/>
      <c r="C20" s="4" t="s">
        <v>439</v>
      </c>
      <c r="D20" s="4" t="s">
        <v>146</v>
      </c>
      <c r="E20" s="20" t="s">
        <v>216</v>
      </c>
      <c r="F20" s="21"/>
      <c r="G20" s="47" t="s">
        <v>440</v>
      </c>
      <c r="U20" s="17">
        <v>0.1</v>
      </c>
      <c r="V20" s="17">
        <v>0.11</v>
      </c>
      <c r="AG20" s="17">
        <f t="shared" si="0"/>
        <v>0.84000000000000097</v>
      </c>
      <c r="AH20" s="17">
        <f t="shared" si="1"/>
        <v>8</v>
      </c>
      <c r="AI20" s="17" t="s">
        <v>178</v>
      </c>
      <c r="AJ20" s="17" t="s">
        <v>182</v>
      </c>
      <c r="AK20" s="17" t="s">
        <v>188</v>
      </c>
    </row>
    <row r="21" spans="1:37" s="17" customFormat="1" ht="15.9" customHeight="1" x14ac:dyDescent="0.35">
      <c r="B21" s="4"/>
      <c r="C21" s="4" t="s">
        <v>441</v>
      </c>
      <c r="D21" s="4" t="s">
        <v>147</v>
      </c>
      <c r="E21" s="20" t="s">
        <v>216</v>
      </c>
      <c r="F21" s="21"/>
      <c r="G21" s="47" t="s">
        <v>442</v>
      </c>
      <c r="AB21" s="17">
        <v>0.05</v>
      </c>
      <c r="AC21" s="17">
        <v>0.08</v>
      </c>
      <c r="AD21" s="17">
        <v>0.14000000000000001</v>
      </c>
      <c r="AF21" s="17">
        <v>0.12</v>
      </c>
      <c r="AG21" s="17">
        <f t="shared" si="0"/>
        <v>1.56</v>
      </c>
      <c r="AH21" s="17">
        <f t="shared" si="1"/>
        <v>16</v>
      </c>
      <c r="AI21" s="17" t="s">
        <v>178</v>
      </c>
      <c r="AJ21" s="22" t="s">
        <v>185</v>
      </c>
      <c r="AK21" s="17" t="s">
        <v>188</v>
      </c>
    </row>
    <row r="22" spans="1:37" s="17" customFormat="1" ht="16" customHeight="1" x14ac:dyDescent="0.35">
      <c r="B22" s="4"/>
      <c r="C22" s="4" t="s">
        <v>443</v>
      </c>
      <c r="D22" s="4" t="s">
        <v>148</v>
      </c>
      <c r="E22" s="20" t="s">
        <v>216</v>
      </c>
      <c r="F22" s="21"/>
      <c r="G22" s="47" t="s">
        <v>444</v>
      </c>
      <c r="U22" s="17">
        <v>0.01</v>
      </c>
      <c r="AG22" s="17">
        <f t="shared" si="0"/>
        <v>0.04</v>
      </c>
      <c r="AH22" s="17">
        <f t="shared" si="1"/>
        <v>4</v>
      </c>
      <c r="AI22" s="17" t="s">
        <v>178</v>
      </c>
      <c r="AJ22" s="17" t="s">
        <v>182</v>
      </c>
      <c r="AK22" s="17" t="s">
        <v>188</v>
      </c>
    </row>
    <row r="23" spans="1:37" s="17" customFormat="1" ht="15.9" customHeight="1" x14ac:dyDescent="0.35">
      <c r="B23" s="4"/>
      <c r="C23" s="4" t="s">
        <v>445</v>
      </c>
      <c r="D23" s="4" t="s">
        <v>149</v>
      </c>
      <c r="E23" s="20" t="s">
        <v>216</v>
      </c>
      <c r="F23" s="21"/>
      <c r="G23" s="47" t="s">
        <v>446</v>
      </c>
      <c r="AB23" s="17">
        <v>0.04</v>
      </c>
      <c r="AD23" s="17">
        <v>0.08</v>
      </c>
      <c r="AG23" s="17">
        <f t="shared" si="0"/>
        <v>0.48</v>
      </c>
      <c r="AH23" s="17">
        <f t="shared" si="1"/>
        <v>8</v>
      </c>
      <c r="AI23" s="17" t="s">
        <v>179</v>
      </c>
      <c r="AJ23" s="17" t="s">
        <v>182</v>
      </c>
      <c r="AK23" s="17" t="s">
        <v>188</v>
      </c>
    </row>
    <row r="24" spans="1:37" s="17" customFormat="1" ht="15.45" customHeight="1" x14ac:dyDescent="0.35">
      <c r="B24" s="4"/>
      <c r="C24" s="4" t="s">
        <v>447</v>
      </c>
      <c r="D24" s="4" t="s">
        <v>150</v>
      </c>
      <c r="E24" s="20" t="s">
        <v>216</v>
      </c>
      <c r="F24" s="21"/>
      <c r="G24" s="47" t="s">
        <v>448</v>
      </c>
      <c r="H24" s="17">
        <v>0.2</v>
      </c>
      <c r="I24" s="17">
        <v>0.6</v>
      </c>
      <c r="J24" s="17">
        <v>0.24</v>
      </c>
      <c r="K24" s="17">
        <v>0.23</v>
      </c>
      <c r="L24" s="17">
        <v>0.28000000000000003</v>
      </c>
      <c r="M24" s="17">
        <v>0.08</v>
      </c>
      <c r="P24" s="17">
        <v>0.02</v>
      </c>
      <c r="R24" s="17">
        <v>4.0000000000000001E-3</v>
      </c>
      <c r="U24" s="17">
        <v>0.06</v>
      </c>
      <c r="W24" s="17">
        <v>0.04</v>
      </c>
      <c r="AG24" s="17">
        <f t="shared" si="0"/>
        <v>7.0160000000000098</v>
      </c>
      <c r="AH24" s="17">
        <f t="shared" si="1"/>
        <v>40</v>
      </c>
      <c r="AI24" s="17" t="s">
        <v>179</v>
      </c>
      <c r="AJ24" s="22" t="s">
        <v>186</v>
      </c>
      <c r="AK24" s="17" t="s">
        <v>188</v>
      </c>
    </row>
    <row r="25" spans="1:37" s="17" customFormat="1" ht="16" customHeight="1" x14ac:dyDescent="0.35">
      <c r="A25" s="17" t="s">
        <v>73</v>
      </c>
      <c r="B25" s="4" t="s">
        <v>88</v>
      </c>
      <c r="C25" s="4" t="s">
        <v>449</v>
      </c>
      <c r="D25" s="4" t="s">
        <v>151</v>
      </c>
      <c r="E25" s="18" t="s">
        <v>398</v>
      </c>
      <c r="F25" s="19" t="s">
        <v>368</v>
      </c>
      <c r="G25" s="47" t="s">
        <v>450</v>
      </c>
      <c r="V25" s="17">
        <v>0.1</v>
      </c>
      <c r="AG25" s="17">
        <f t="shared" si="0"/>
        <v>0.4</v>
      </c>
      <c r="AH25" s="17">
        <f t="shared" si="1"/>
        <v>4</v>
      </c>
      <c r="AI25" s="17" t="s">
        <v>180</v>
      </c>
      <c r="AJ25" s="17" t="s">
        <v>182</v>
      </c>
      <c r="AK25" s="17" t="s">
        <v>188</v>
      </c>
    </row>
    <row r="26" spans="1:37" s="17" customFormat="1" ht="16" customHeight="1" x14ac:dyDescent="0.35">
      <c r="B26" s="4" t="s">
        <v>89</v>
      </c>
      <c r="C26" s="4" t="s">
        <v>451</v>
      </c>
      <c r="D26" s="4" t="s">
        <v>152</v>
      </c>
      <c r="E26" s="20" t="s">
        <v>216</v>
      </c>
      <c r="F26" s="19" t="s">
        <v>369</v>
      </c>
      <c r="G26" s="47" t="s">
        <v>452</v>
      </c>
      <c r="M26" s="17">
        <v>0.1</v>
      </c>
      <c r="N26" s="17">
        <v>0.02</v>
      </c>
      <c r="O26" s="17">
        <v>0.05</v>
      </c>
      <c r="AG26" s="17">
        <f t="shared" si="0"/>
        <v>0.68000000000000105</v>
      </c>
      <c r="AH26" s="17">
        <f t="shared" si="1"/>
        <v>12</v>
      </c>
      <c r="AI26" s="17" t="s">
        <v>180</v>
      </c>
      <c r="AJ26" s="22" t="s">
        <v>186</v>
      </c>
      <c r="AK26" s="17" t="s">
        <v>188</v>
      </c>
    </row>
    <row r="27" spans="1:37" s="17" customFormat="1" ht="16" customHeight="1" x14ac:dyDescent="0.35">
      <c r="B27" s="4"/>
      <c r="C27" s="4" t="s">
        <v>453</v>
      </c>
      <c r="D27" s="4" t="s">
        <v>153</v>
      </c>
      <c r="E27" s="20" t="s">
        <v>216</v>
      </c>
      <c r="F27" s="21"/>
      <c r="G27" s="47" t="s">
        <v>454</v>
      </c>
      <c r="N27" s="17">
        <v>1.6E-2</v>
      </c>
      <c r="AG27" s="17">
        <f t="shared" si="0"/>
        <v>6.4000000000000098E-2</v>
      </c>
      <c r="AH27" s="17">
        <f t="shared" si="1"/>
        <v>4</v>
      </c>
      <c r="AI27" s="17" t="s">
        <v>180</v>
      </c>
      <c r="AJ27" s="22" t="s">
        <v>186</v>
      </c>
      <c r="AK27" s="17" t="s">
        <v>188</v>
      </c>
    </row>
    <row r="28" spans="1:37" s="17" customFormat="1" ht="16" customHeight="1" x14ac:dyDescent="0.35">
      <c r="B28" s="4" t="s">
        <v>90</v>
      </c>
      <c r="C28" s="4" t="s">
        <v>455</v>
      </c>
      <c r="D28" s="4" t="s">
        <v>154</v>
      </c>
      <c r="E28" s="20" t="s">
        <v>216</v>
      </c>
      <c r="F28" s="19" t="s">
        <v>370</v>
      </c>
      <c r="G28" s="47" t="s">
        <v>456</v>
      </c>
      <c r="AB28" s="17">
        <v>0.05</v>
      </c>
      <c r="AG28" s="17">
        <f t="shared" si="0"/>
        <v>0.2</v>
      </c>
      <c r="AH28" s="17">
        <f t="shared" si="1"/>
        <v>4</v>
      </c>
      <c r="AI28" s="17" t="s">
        <v>180</v>
      </c>
      <c r="AJ28" s="17" t="s">
        <v>182</v>
      </c>
      <c r="AK28" s="17" t="s">
        <v>188</v>
      </c>
    </row>
    <row r="29" spans="1:37" s="17" customFormat="1" ht="16" customHeight="1" x14ac:dyDescent="0.35">
      <c r="A29" s="17" t="s">
        <v>74</v>
      </c>
      <c r="B29" s="4" t="s">
        <v>91</v>
      </c>
      <c r="C29" s="4" t="s">
        <v>457</v>
      </c>
      <c r="D29" s="4" t="s">
        <v>155</v>
      </c>
      <c r="E29" s="18" t="s">
        <v>399</v>
      </c>
      <c r="F29" s="19" t="s">
        <v>371</v>
      </c>
      <c r="G29" s="47" t="s">
        <v>458</v>
      </c>
      <c r="W29" s="17">
        <v>0.04</v>
      </c>
      <c r="Y29" s="17">
        <v>0.02</v>
      </c>
      <c r="AE29" s="17">
        <v>0.3</v>
      </c>
      <c r="AG29" s="17">
        <f t="shared" si="0"/>
        <v>1.44</v>
      </c>
      <c r="AH29" s="17">
        <f t="shared" si="1"/>
        <v>12</v>
      </c>
      <c r="AI29" s="17" t="s">
        <v>180</v>
      </c>
      <c r="AJ29" s="17" t="s">
        <v>182</v>
      </c>
      <c r="AK29" s="17" t="s">
        <v>188</v>
      </c>
    </row>
    <row r="30" spans="1:37" s="17" customFormat="1" ht="16" customHeight="1" x14ac:dyDescent="0.35">
      <c r="B30" s="4" t="s">
        <v>92</v>
      </c>
      <c r="C30" s="4" t="s">
        <v>459</v>
      </c>
      <c r="D30" s="4" t="s">
        <v>156</v>
      </c>
      <c r="E30" s="20" t="s">
        <v>216</v>
      </c>
      <c r="F30" s="19" t="s">
        <v>372</v>
      </c>
      <c r="G30" s="47" t="s">
        <v>460</v>
      </c>
      <c r="R30" s="17">
        <v>0.1</v>
      </c>
      <c r="S30" s="17">
        <v>0.08</v>
      </c>
      <c r="AC30" s="17">
        <v>0.14000000000000001</v>
      </c>
      <c r="AE30" s="17">
        <v>0.16</v>
      </c>
      <c r="AF30" s="17">
        <v>0.02</v>
      </c>
      <c r="AG30" s="17">
        <f t="shared" si="0"/>
        <v>2</v>
      </c>
      <c r="AH30" s="17">
        <f>COUNTA(H30:AF30)/25*100</f>
        <v>20</v>
      </c>
      <c r="AI30" s="17" t="s">
        <v>180</v>
      </c>
      <c r="AJ30" s="22" t="s">
        <v>184</v>
      </c>
      <c r="AK30" s="17" t="s">
        <v>188</v>
      </c>
    </row>
    <row r="31" spans="1:37" s="17" customFormat="1" ht="16" customHeight="1" x14ac:dyDescent="0.35">
      <c r="B31" s="4"/>
      <c r="C31" s="4" t="s">
        <v>461</v>
      </c>
      <c r="D31" s="4" t="s">
        <v>157</v>
      </c>
      <c r="E31" s="20" t="s">
        <v>216</v>
      </c>
      <c r="F31" s="21"/>
      <c r="G31" s="47" t="s">
        <v>462</v>
      </c>
      <c r="U31" s="17">
        <v>0.24</v>
      </c>
      <c r="V31" s="17">
        <v>0.01</v>
      </c>
      <c r="AG31" s="17">
        <f t="shared" si="0"/>
        <v>1</v>
      </c>
      <c r="AH31" s="17">
        <f t="shared" si="1"/>
        <v>8</v>
      </c>
      <c r="AI31" s="17" t="s">
        <v>180</v>
      </c>
      <c r="AJ31" s="22" t="s">
        <v>186</v>
      </c>
      <c r="AK31" s="17" t="s">
        <v>188</v>
      </c>
    </row>
    <row r="32" spans="1:37" s="17" customFormat="1" ht="16" customHeight="1" x14ac:dyDescent="0.35">
      <c r="B32" s="4" t="s">
        <v>93</v>
      </c>
      <c r="C32" s="4" t="s">
        <v>463</v>
      </c>
      <c r="D32" s="4" t="s">
        <v>158</v>
      </c>
      <c r="E32" s="20" t="s">
        <v>216</v>
      </c>
      <c r="F32" s="19" t="s">
        <v>373</v>
      </c>
      <c r="G32" s="47" t="s">
        <v>464</v>
      </c>
      <c r="M32" s="17">
        <v>0.12</v>
      </c>
      <c r="O32" s="17">
        <v>0.02</v>
      </c>
      <c r="AG32" s="17">
        <f t="shared" si="0"/>
        <v>0.56000000000000005</v>
      </c>
      <c r="AH32" s="17">
        <f t="shared" si="1"/>
        <v>8</v>
      </c>
      <c r="AI32" s="17" t="s">
        <v>180</v>
      </c>
      <c r="AJ32" s="17" t="s">
        <v>182</v>
      </c>
      <c r="AK32" s="17" t="s">
        <v>188</v>
      </c>
    </row>
    <row r="33" spans="1:37" s="17" customFormat="1" ht="16" customHeight="1" x14ac:dyDescent="0.35">
      <c r="A33" s="17" t="s">
        <v>75</v>
      </c>
      <c r="B33" s="4" t="s">
        <v>94</v>
      </c>
      <c r="C33" s="4" t="s">
        <v>465</v>
      </c>
      <c r="D33" s="4" t="s">
        <v>159</v>
      </c>
      <c r="E33" s="18" t="s">
        <v>400</v>
      </c>
      <c r="F33" s="19" t="s">
        <v>374</v>
      </c>
      <c r="G33" s="47" t="s">
        <v>466</v>
      </c>
      <c r="H33" s="17">
        <v>0.36</v>
      </c>
      <c r="L33" s="17">
        <v>0.1</v>
      </c>
      <c r="M33" s="17">
        <v>0.17</v>
      </c>
      <c r="N33" s="17">
        <v>0.45</v>
      </c>
      <c r="O33" s="17">
        <v>0.4</v>
      </c>
      <c r="P33" s="17">
        <v>0.54</v>
      </c>
      <c r="Q33" s="17">
        <v>0.22</v>
      </c>
      <c r="R33" s="17">
        <v>0.64</v>
      </c>
      <c r="S33" s="17">
        <v>0.6</v>
      </c>
      <c r="T33" s="17">
        <v>0.32</v>
      </c>
      <c r="V33" s="17">
        <v>0.36</v>
      </c>
      <c r="W33" s="17">
        <v>0.66</v>
      </c>
      <c r="X33" s="17">
        <v>0.42</v>
      </c>
      <c r="Y33" s="17">
        <v>0.8</v>
      </c>
      <c r="Z33" s="17">
        <v>0.44</v>
      </c>
      <c r="AA33" s="17">
        <v>0.06</v>
      </c>
      <c r="AB33" s="17">
        <v>0.68</v>
      </c>
      <c r="AC33" s="17">
        <v>0.54</v>
      </c>
      <c r="AD33" s="17">
        <v>0.68</v>
      </c>
      <c r="AE33" s="17">
        <v>0.42</v>
      </c>
      <c r="AF33" s="17">
        <v>0.8</v>
      </c>
      <c r="AG33" s="17">
        <f t="shared" si="0"/>
        <v>38.64</v>
      </c>
      <c r="AH33" s="17">
        <f t="shared" si="1"/>
        <v>84</v>
      </c>
      <c r="AI33" s="17" t="s">
        <v>180</v>
      </c>
      <c r="AJ33" s="22" t="s">
        <v>186</v>
      </c>
      <c r="AK33" s="17" t="s">
        <v>188</v>
      </c>
    </row>
    <row r="34" spans="1:37" s="17" customFormat="1" ht="16" customHeight="1" x14ac:dyDescent="0.35">
      <c r="B34" s="4" t="s">
        <v>493</v>
      </c>
      <c r="C34" s="4" t="s">
        <v>484</v>
      </c>
      <c r="D34" s="4" t="s">
        <v>475</v>
      </c>
      <c r="E34" s="20" t="s">
        <v>216</v>
      </c>
      <c r="F34" s="19" t="s">
        <v>389</v>
      </c>
      <c r="G34" s="47" t="s">
        <v>467</v>
      </c>
      <c r="AC34" s="17">
        <v>0.06</v>
      </c>
      <c r="AG34" s="17">
        <f t="shared" si="0"/>
        <v>0.24</v>
      </c>
      <c r="AH34" s="17">
        <f t="shared" si="1"/>
        <v>4</v>
      </c>
      <c r="AI34" s="17" t="s">
        <v>180</v>
      </c>
      <c r="AJ34" s="17" t="s">
        <v>182</v>
      </c>
      <c r="AK34" s="17" t="s">
        <v>188</v>
      </c>
    </row>
    <row r="35" spans="1:37" s="17" customFormat="1" ht="16" customHeight="1" x14ac:dyDescent="0.35">
      <c r="B35" s="4"/>
      <c r="C35" s="4" t="s">
        <v>485</v>
      </c>
      <c r="D35" s="4" t="s">
        <v>476</v>
      </c>
      <c r="E35" s="20" t="s">
        <v>216</v>
      </c>
      <c r="F35" s="19"/>
      <c r="G35" s="47" t="s">
        <v>468</v>
      </c>
      <c r="H35" s="17">
        <v>0.4</v>
      </c>
      <c r="I35" s="17">
        <v>0.2</v>
      </c>
      <c r="J35" s="17">
        <v>0.4</v>
      </c>
      <c r="K35" s="17">
        <v>0.56000000000000005</v>
      </c>
      <c r="L35" s="17">
        <v>0.55000000000000004</v>
      </c>
      <c r="M35" s="17">
        <v>0.13</v>
      </c>
      <c r="N35" s="17">
        <v>0.4</v>
      </c>
      <c r="O35" s="17">
        <v>0.45</v>
      </c>
      <c r="P35" s="17">
        <v>0.18</v>
      </c>
      <c r="Q35" s="17">
        <v>0.24</v>
      </c>
      <c r="R35" s="17">
        <v>0.06</v>
      </c>
      <c r="S35" s="17">
        <v>0.16</v>
      </c>
      <c r="V35" s="17">
        <v>0.04</v>
      </c>
      <c r="W35" s="17">
        <v>0.22</v>
      </c>
      <c r="X35" s="17">
        <v>0.28000000000000003</v>
      </c>
      <c r="AB35" s="17">
        <v>0.1</v>
      </c>
      <c r="AC35" s="17">
        <v>0.12</v>
      </c>
      <c r="AD35" s="17">
        <v>0.1</v>
      </c>
      <c r="AE35" s="17">
        <v>0.06</v>
      </c>
      <c r="AG35" s="17">
        <f t="shared" si="0"/>
        <v>18.600000000000001</v>
      </c>
      <c r="AH35" s="17">
        <f>COUNTA(H35:AF35)/25*100</f>
        <v>76</v>
      </c>
      <c r="AI35" s="17" t="s">
        <v>180</v>
      </c>
      <c r="AJ35" s="22" t="s">
        <v>186</v>
      </c>
      <c r="AK35" s="17" t="s">
        <v>191</v>
      </c>
    </row>
    <row r="36" spans="1:37" s="17" customFormat="1" ht="16" customHeight="1" x14ac:dyDescent="0.35">
      <c r="A36" s="17" t="s">
        <v>76</v>
      </c>
      <c r="B36" s="4" t="s">
        <v>494</v>
      </c>
      <c r="C36" s="4" t="s">
        <v>486</v>
      </c>
      <c r="D36" s="4" t="s">
        <v>477</v>
      </c>
      <c r="E36" s="18" t="s">
        <v>401</v>
      </c>
      <c r="F36" s="19" t="s">
        <v>390</v>
      </c>
      <c r="G36" s="47" t="s">
        <v>469</v>
      </c>
      <c r="H36" s="17">
        <v>0.04</v>
      </c>
      <c r="J36" s="17">
        <v>0.06</v>
      </c>
      <c r="N36" s="17">
        <v>0.08</v>
      </c>
      <c r="AG36" s="17">
        <f t="shared" si="0"/>
        <v>0.72000000000000097</v>
      </c>
      <c r="AH36" s="17">
        <f t="shared" si="1"/>
        <v>12</v>
      </c>
      <c r="AI36" s="17" t="s">
        <v>180</v>
      </c>
      <c r="AJ36" s="22" t="s">
        <v>186</v>
      </c>
      <c r="AK36" s="17" t="s">
        <v>188</v>
      </c>
    </row>
    <row r="37" spans="1:37" s="17" customFormat="1" ht="16" customHeight="1" x14ac:dyDescent="0.35">
      <c r="B37" s="4" t="s">
        <v>495</v>
      </c>
      <c r="C37" s="4" t="s">
        <v>487</v>
      </c>
      <c r="D37" s="4" t="s">
        <v>478</v>
      </c>
      <c r="E37" s="20" t="s">
        <v>216</v>
      </c>
      <c r="F37" s="19" t="s">
        <v>391</v>
      </c>
      <c r="G37" s="47" t="s">
        <v>470</v>
      </c>
      <c r="N37" s="17">
        <v>4.0000000000000001E-3</v>
      </c>
      <c r="O37" s="17">
        <v>4.0000000000000001E-3</v>
      </c>
      <c r="U37" s="17">
        <v>0.08</v>
      </c>
      <c r="AB37" s="17">
        <v>0.04</v>
      </c>
      <c r="AE37" s="17">
        <v>0.04</v>
      </c>
      <c r="AF37" s="17">
        <v>0.06</v>
      </c>
      <c r="AG37" s="17">
        <f t="shared" si="0"/>
        <v>0.91200000000000103</v>
      </c>
      <c r="AH37" s="17">
        <f t="shared" si="1"/>
        <v>24</v>
      </c>
      <c r="AI37" s="17" t="s">
        <v>180</v>
      </c>
      <c r="AJ37" s="17" t="s">
        <v>182</v>
      </c>
      <c r="AK37" s="17" t="s">
        <v>188</v>
      </c>
    </row>
    <row r="38" spans="1:37" s="17" customFormat="1" ht="16" customHeight="1" x14ac:dyDescent="0.35">
      <c r="A38" s="17" t="s">
        <v>77</v>
      </c>
      <c r="B38" s="4" t="s">
        <v>496</v>
      </c>
      <c r="C38" s="4" t="s">
        <v>488</v>
      </c>
      <c r="D38" s="4" t="s">
        <v>479</v>
      </c>
      <c r="E38" s="18" t="s">
        <v>402</v>
      </c>
      <c r="F38" s="19" t="s">
        <v>392</v>
      </c>
      <c r="G38" s="47" t="s">
        <v>471</v>
      </c>
      <c r="AB38" s="17">
        <v>0.04</v>
      </c>
      <c r="AG38" s="17">
        <f t="shared" si="0"/>
        <v>0.16</v>
      </c>
      <c r="AH38" s="17">
        <f t="shared" si="1"/>
        <v>4</v>
      </c>
      <c r="AI38" s="17" t="s">
        <v>180</v>
      </c>
      <c r="AJ38" s="22" t="s">
        <v>185</v>
      </c>
      <c r="AK38" s="17" t="s">
        <v>191</v>
      </c>
    </row>
    <row r="39" spans="1:37" s="17" customFormat="1" ht="16" customHeight="1" x14ac:dyDescent="0.35">
      <c r="B39" s="4"/>
      <c r="C39" s="4" t="s">
        <v>489</v>
      </c>
      <c r="D39" s="4" t="s">
        <v>480</v>
      </c>
      <c r="E39" s="20" t="s">
        <v>216</v>
      </c>
      <c r="F39" s="21"/>
      <c r="G39" s="47" t="s">
        <v>472</v>
      </c>
      <c r="X39" s="17">
        <v>0.05</v>
      </c>
      <c r="Z39" s="17">
        <v>0.08</v>
      </c>
      <c r="AA39" s="17">
        <v>0.22</v>
      </c>
      <c r="AG39" s="17">
        <f t="shared" si="0"/>
        <v>1.4</v>
      </c>
      <c r="AH39" s="17">
        <f t="shared" si="1"/>
        <v>12</v>
      </c>
      <c r="AI39" s="17" t="s">
        <v>180</v>
      </c>
      <c r="AJ39" s="22" t="s">
        <v>183</v>
      </c>
      <c r="AK39" s="17" t="s">
        <v>189</v>
      </c>
    </row>
    <row r="40" spans="1:37" s="17" customFormat="1" ht="16" customHeight="1" x14ac:dyDescent="0.35">
      <c r="B40" s="4" t="s">
        <v>497</v>
      </c>
      <c r="C40" s="4" t="s">
        <v>490</v>
      </c>
      <c r="D40" s="4" t="s">
        <v>481</v>
      </c>
      <c r="E40" s="20" t="s">
        <v>216</v>
      </c>
      <c r="F40" s="19" t="s">
        <v>393</v>
      </c>
      <c r="G40" s="47" t="s">
        <v>473</v>
      </c>
      <c r="T40" s="17">
        <v>0.28000000000000003</v>
      </c>
      <c r="U40" s="17">
        <v>0.3</v>
      </c>
      <c r="V40" s="17">
        <v>0.28000000000000003</v>
      </c>
      <c r="Z40" s="17">
        <v>0.03</v>
      </c>
      <c r="AG40" s="17">
        <f t="shared" si="0"/>
        <v>3.56</v>
      </c>
      <c r="AH40" s="17">
        <f t="shared" si="1"/>
        <v>16</v>
      </c>
      <c r="AI40" s="17" t="s">
        <v>180</v>
      </c>
      <c r="AJ40" s="17" t="s">
        <v>182</v>
      </c>
      <c r="AK40" s="17" t="s">
        <v>191</v>
      </c>
    </row>
    <row r="41" spans="1:37" s="17" customFormat="1" ht="16" customHeight="1" x14ac:dyDescent="0.35">
      <c r="A41" s="17" t="s">
        <v>78</v>
      </c>
      <c r="B41" s="4" t="s">
        <v>498</v>
      </c>
      <c r="C41" s="4" t="s">
        <v>491</v>
      </c>
      <c r="D41" s="4" t="s">
        <v>482</v>
      </c>
      <c r="E41" s="18" t="s">
        <v>403</v>
      </c>
      <c r="F41" s="19" t="s">
        <v>394</v>
      </c>
      <c r="G41" s="47" t="s">
        <v>474</v>
      </c>
      <c r="L41" s="17">
        <v>0.03</v>
      </c>
      <c r="O41" s="17">
        <v>0.02</v>
      </c>
      <c r="Q41" s="17">
        <v>0.02</v>
      </c>
      <c r="T41" s="17">
        <v>7.0000000000000007E-2</v>
      </c>
      <c r="AG41" s="17">
        <f t="shared" si="0"/>
        <v>0.56000000000000005</v>
      </c>
      <c r="AH41" s="17">
        <f t="shared" si="1"/>
        <v>16</v>
      </c>
      <c r="AI41" s="17" t="s">
        <v>180</v>
      </c>
      <c r="AJ41" s="17" t="s">
        <v>182</v>
      </c>
      <c r="AK41" s="17" t="s">
        <v>188</v>
      </c>
    </row>
    <row r="42" spans="1:37" ht="16" customHeight="1" x14ac:dyDescent="0.35">
      <c r="C42" s="3" t="s">
        <v>492</v>
      </c>
      <c r="D42" s="3" t="s">
        <v>483</v>
      </c>
      <c r="E42" s="49" t="s">
        <v>216</v>
      </c>
      <c r="G42" s="50" t="s">
        <v>388</v>
      </c>
      <c r="Q42" s="2">
        <v>0.04</v>
      </c>
      <c r="AG42" s="17">
        <f t="shared" si="0"/>
        <v>0.16</v>
      </c>
      <c r="AH42" s="2">
        <f t="shared" si="1"/>
        <v>4</v>
      </c>
      <c r="AI42" s="2" t="s">
        <v>180</v>
      </c>
      <c r="AJ42" s="2" t="s">
        <v>182</v>
      </c>
      <c r="AK42" s="2" t="s">
        <v>191</v>
      </c>
    </row>
    <row r="44" spans="1:37" ht="16" customHeight="1" x14ac:dyDescent="0.35">
      <c r="G44" s="1" t="s">
        <v>0</v>
      </c>
      <c r="H44" s="1">
        <f>COUNTA(H2:H42)</f>
        <v>4</v>
      </c>
      <c r="I44" s="1">
        <f t="shared" ref="I44:AF44" si="2">COUNTA(I2:I42)</f>
        <v>3</v>
      </c>
      <c r="J44" s="1">
        <f t="shared" si="2"/>
        <v>4</v>
      </c>
      <c r="K44" s="1">
        <f t="shared" si="2"/>
        <v>4</v>
      </c>
      <c r="L44" s="1">
        <f t="shared" si="2"/>
        <v>5</v>
      </c>
      <c r="M44" s="1">
        <f t="shared" si="2"/>
        <v>11</v>
      </c>
      <c r="N44" s="1">
        <f t="shared" si="2"/>
        <v>9</v>
      </c>
      <c r="O44" s="1">
        <f t="shared" si="2"/>
        <v>8</v>
      </c>
      <c r="P44" s="1">
        <f t="shared" si="2"/>
        <v>6</v>
      </c>
      <c r="Q44" s="1">
        <f t="shared" si="2"/>
        <v>8</v>
      </c>
      <c r="R44" s="1">
        <f t="shared" si="2"/>
        <v>8</v>
      </c>
      <c r="S44" s="1">
        <f t="shared" si="2"/>
        <v>9</v>
      </c>
      <c r="T44" s="1">
        <f t="shared" si="2"/>
        <v>6</v>
      </c>
      <c r="U44" s="1">
        <f t="shared" si="2"/>
        <v>8</v>
      </c>
      <c r="V44" s="1">
        <f t="shared" si="2"/>
        <v>7</v>
      </c>
      <c r="W44" s="1">
        <f t="shared" si="2"/>
        <v>5</v>
      </c>
      <c r="X44" s="1">
        <f t="shared" si="2"/>
        <v>5</v>
      </c>
      <c r="Y44" s="1">
        <f t="shared" si="2"/>
        <v>6</v>
      </c>
      <c r="Z44" s="1">
        <f t="shared" si="2"/>
        <v>8</v>
      </c>
      <c r="AA44" s="1">
        <f t="shared" si="2"/>
        <v>4</v>
      </c>
      <c r="AB44" s="1">
        <f t="shared" si="2"/>
        <v>7</v>
      </c>
      <c r="AC44" s="1">
        <f t="shared" si="2"/>
        <v>7</v>
      </c>
      <c r="AD44" s="1">
        <f t="shared" si="2"/>
        <v>4</v>
      </c>
      <c r="AE44" s="1">
        <f t="shared" si="2"/>
        <v>6</v>
      </c>
      <c r="AF44" s="1">
        <f t="shared" si="2"/>
        <v>4</v>
      </c>
    </row>
    <row r="45" spans="1:37" ht="16" customHeight="1" x14ac:dyDescent="0.35"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7" ht="16" customHeight="1" x14ac:dyDescent="0.35">
      <c r="G46" s="8" t="s">
        <v>779</v>
      </c>
      <c r="H46" s="55" t="s">
        <v>138</v>
      </c>
      <c r="I46" s="55"/>
      <c r="J46" s="55"/>
      <c r="K46" s="55"/>
      <c r="L46" s="55"/>
      <c r="M46" s="55"/>
      <c r="N46" s="55"/>
      <c r="O46" s="55"/>
      <c r="P46" s="25"/>
      <c r="Q46" s="25"/>
      <c r="R46" s="25"/>
    </row>
    <row r="47" spans="1:37" ht="16" customHeight="1" x14ac:dyDescent="0.35">
      <c r="D47" s="9"/>
      <c r="H47" s="54" t="s">
        <v>175</v>
      </c>
      <c r="I47" s="54"/>
      <c r="J47" s="54"/>
      <c r="K47" s="54"/>
      <c r="L47" s="54"/>
      <c r="M47" s="54"/>
      <c r="N47" s="54"/>
      <c r="O47" s="54"/>
      <c r="P47" s="54"/>
      <c r="Q47" s="54"/>
      <c r="R47" s="54"/>
    </row>
    <row r="48" spans="1:37" ht="16" customHeight="1" x14ac:dyDescent="0.35">
      <c r="D48" s="9"/>
      <c r="H48" s="54" t="s">
        <v>192</v>
      </c>
      <c r="I48" s="54"/>
      <c r="J48" s="54"/>
      <c r="K48" s="54"/>
      <c r="L48" s="54"/>
      <c r="M48" s="54"/>
      <c r="N48" s="54"/>
      <c r="O48" s="54"/>
      <c r="P48" s="54"/>
      <c r="Q48" s="54"/>
      <c r="R48" s="54"/>
    </row>
    <row r="49" spans="8:18" ht="32.5" customHeight="1" x14ac:dyDescent="0.35">
      <c r="H49" s="55" t="s">
        <v>215</v>
      </c>
      <c r="I49" s="55"/>
      <c r="J49" s="55"/>
      <c r="K49" s="55"/>
      <c r="L49" s="55"/>
      <c r="M49" s="55"/>
      <c r="N49" s="55"/>
      <c r="O49" s="55"/>
      <c r="P49" s="55"/>
      <c r="Q49" s="55"/>
      <c r="R49" s="55"/>
    </row>
    <row r="50" spans="8:18" ht="33.9" customHeight="1" x14ac:dyDescent="0.35">
      <c r="H50" s="55" t="s">
        <v>281</v>
      </c>
      <c r="I50" s="55"/>
      <c r="J50" s="55"/>
      <c r="K50" s="55"/>
      <c r="L50" s="55"/>
      <c r="M50" s="55"/>
      <c r="N50" s="55"/>
      <c r="O50" s="55"/>
      <c r="P50" s="55"/>
      <c r="Q50" s="55"/>
      <c r="R50" s="55"/>
    </row>
    <row r="51" spans="8:18" ht="16" customHeight="1" x14ac:dyDescent="0.35"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</row>
  </sheetData>
  <mergeCells count="5">
    <mergeCell ref="H47:R47"/>
    <mergeCell ref="H46:O46"/>
    <mergeCell ref="H48:R48"/>
    <mergeCell ref="H49:R49"/>
    <mergeCell ref="H50:R50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8DDB6-41BF-456E-B826-BB46406A516A}">
  <dimension ref="A1:AL28"/>
  <sheetViews>
    <sheetView zoomScale="85" zoomScaleNormal="85" workbookViewId="0">
      <pane xSplit="3" ySplit="1" topLeftCell="AE2" activePane="bottomRight" state="frozen"/>
      <selection pane="topRight" activeCell="D1" sqref="D1"/>
      <selection pane="bottomLeft" activeCell="A3" sqref="A3"/>
      <selection pane="bottomRight" activeCell="K24" sqref="K24"/>
    </sheetView>
  </sheetViews>
  <sheetFormatPr defaultColWidth="9.5703125" defaultRowHeight="16" customHeight="1" x14ac:dyDescent="0.35"/>
  <cols>
    <col min="1" max="1" width="36.78515625" style="2" customWidth="1"/>
    <col min="2" max="2" width="9.5703125" style="1"/>
    <col min="3" max="3" width="9.5703125" style="2"/>
    <col min="4" max="4" width="9.5703125" style="2" customWidth="1"/>
    <col min="5" max="18" width="9.5703125" style="2"/>
    <col min="19" max="19" width="10.2109375" style="2" customWidth="1"/>
    <col min="20" max="26" width="9.5703125" style="2"/>
    <col min="27" max="27" width="13.7109375" style="2" customWidth="1"/>
    <col min="28" max="28" width="9.5703125" style="2"/>
    <col min="29" max="29" width="17.2109375" style="2" customWidth="1"/>
    <col min="30" max="30" width="17.640625" style="2" customWidth="1"/>
    <col min="31" max="31" width="19.92578125" style="2" customWidth="1"/>
    <col min="32" max="32" width="19.640625" style="2" customWidth="1"/>
    <col min="33" max="33" width="16.140625" style="2" customWidth="1"/>
    <col min="34" max="34" width="22.92578125" style="2" customWidth="1"/>
    <col min="35" max="35" width="15.0703125" style="2" customWidth="1"/>
    <col min="36" max="36" width="16.2109375" style="2" customWidth="1"/>
    <col min="37" max="37" width="18.2109375" style="2" customWidth="1"/>
    <col min="38" max="16384" width="9.5703125" style="2"/>
  </cols>
  <sheetData>
    <row r="1" spans="1:38" s="1" customFormat="1" ht="16" customHeight="1" x14ac:dyDescent="0.35">
      <c r="A1" s="1" t="s">
        <v>282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22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37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105</v>
      </c>
      <c r="Q1" s="1" t="s">
        <v>172</v>
      </c>
      <c r="R1" s="1" t="s">
        <v>173</v>
      </c>
      <c r="S1" s="1" t="s">
        <v>45</v>
      </c>
      <c r="T1" s="1" t="s">
        <v>44</v>
      </c>
      <c r="U1" s="1" t="s">
        <v>106</v>
      </c>
      <c r="V1" s="1" t="s">
        <v>107</v>
      </c>
      <c r="W1" s="1" t="s">
        <v>110</v>
      </c>
      <c r="X1" s="1" t="s">
        <v>109</v>
      </c>
      <c r="Y1" s="1" t="s">
        <v>108</v>
      </c>
      <c r="Z1" s="1" t="s">
        <v>174</v>
      </c>
      <c r="AA1" s="1" t="s">
        <v>58</v>
      </c>
      <c r="AB1" s="1" t="s">
        <v>61</v>
      </c>
      <c r="AC1" s="1" t="s">
        <v>111</v>
      </c>
      <c r="AD1" s="1" t="s">
        <v>219</v>
      </c>
      <c r="AE1" s="1" t="s">
        <v>220</v>
      </c>
      <c r="AF1" s="1" t="s">
        <v>221</v>
      </c>
      <c r="AG1" s="1" t="s">
        <v>222</v>
      </c>
      <c r="AH1" s="1" t="s">
        <v>223</v>
      </c>
      <c r="AI1" s="1" t="s">
        <v>224</v>
      </c>
      <c r="AJ1" s="1" t="s">
        <v>225</v>
      </c>
      <c r="AK1" s="1" t="s">
        <v>558</v>
      </c>
      <c r="AL1" s="1" t="s">
        <v>559</v>
      </c>
    </row>
    <row r="2" spans="1:38" ht="16" customHeight="1" x14ac:dyDescent="0.35">
      <c r="A2" s="11" t="s">
        <v>560</v>
      </c>
      <c r="B2" s="1" t="s">
        <v>213</v>
      </c>
      <c r="C2" s="2">
        <v>1</v>
      </c>
      <c r="D2" s="2">
        <v>101.715677</v>
      </c>
      <c r="E2" s="2">
        <v>29.748685999999999</v>
      </c>
      <c r="F2" s="2">
        <v>4365</v>
      </c>
      <c r="G2" s="2">
        <v>35.700000000000003</v>
      </c>
      <c r="H2" s="2">
        <v>55.1</v>
      </c>
      <c r="I2" s="2">
        <v>7.71</v>
      </c>
      <c r="J2" s="2">
        <v>595</v>
      </c>
      <c r="K2" s="2">
        <v>6.4493410459999998</v>
      </c>
      <c r="L2" s="2">
        <v>1.831104026</v>
      </c>
      <c r="M2" s="2">
        <v>1.0786535719999999</v>
      </c>
      <c r="N2" s="2">
        <v>337.98075469999998</v>
      </c>
      <c r="O2" s="2">
        <v>15.54801164</v>
      </c>
      <c r="P2" s="2">
        <v>4.8867924260000004</v>
      </c>
      <c r="Q2" s="2">
        <v>2.6419250000000001</v>
      </c>
      <c r="R2" s="2">
        <v>0.83391000000000004</v>
      </c>
      <c r="S2" s="2">
        <v>3.1681176629999999</v>
      </c>
      <c r="T2" s="2">
        <v>3.475835</v>
      </c>
      <c r="U2" s="2">
        <v>28.38</v>
      </c>
      <c r="V2" s="2">
        <v>23.634</v>
      </c>
      <c r="W2" s="2">
        <v>2140</v>
      </c>
      <c r="X2" s="2">
        <v>113.7992832</v>
      </c>
      <c r="Y2" s="2">
        <v>12.5223</v>
      </c>
      <c r="Z2" s="2">
        <v>4</v>
      </c>
      <c r="AA2" s="2">
        <v>1.1849533569999999</v>
      </c>
      <c r="AB2" s="2">
        <v>0.66879999999999995</v>
      </c>
      <c r="AC2" s="2">
        <v>-0.230971128</v>
      </c>
      <c r="AD2" s="2">
        <v>-0.606964269</v>
      </c>
      <c r="AE2" s="2">
        <v>1.8906676039999999</v>
      </c>
      <c r="AF2" s="2">
        <v>-0.61757714500000005</v>
      </c>
      <c r="AG2" s="2">
        <v>0.195291047</v>
      </c>
      <c r="AH2" s="2">
        <v>1.5000721029999999</v>
      </c>
      <c r="AI2" s="2">
        <v>-2.607852141</v>
      </c>
      <c r="AJ2" s="2">
        <v>-1.3563783869999999</v>
      </c>
      <c r="AK2" s="2">
        <v>-1.917365218</v>
      </c>
      <c r="AL2" s="2">
        <v>0.69904132200000002</v>
      </c>
    </row>
    <row r="3" spans="1:38" ht="16" customHeight="1" x14ac:dyDescent="0.35">
      <c r="A3" s="11" t="s">
        <v>560</v>
      </c>
      <c r="B3" s="1" t="s">
        <v>14</v>
      </c>
      <c r="C3" s="2">
        <v>2</v>
      </c>
      <c r="D3" s="2">
        <v>101.714663</v>
      </c>
      <c r="E3" s="2">
        <v>29.74933</v>
      </c>
      <c r="F3" s="2">
        <v>4363</v>
      </c>
      <c r="G3" s="2">
        <v>37.799999999999997</v>
      </c>
      <c r="H3" s="2">
        <v>59.9</v>
      </c>
      <c r="I3" s="2">
        <v>7.33</v>
      </c>
      <c r="J3" s="2">
        <v>674</v>
      </c>
      <c r="K3" s="2">
        <v>5.9374404580000002</v>
      </c>
      <c r="L3" s="2">
        <v>1.7483323420000001</v>
      </c>
      <c r="M3" s="2">
        <v>0.94680939200000003</v>
      </c>
      <c r="N3" s="2">
        <v>311.43736840000003</v>
      </c>
      <c r="O3" s="2">
        <v>13.58553275</v>
      </c>
      <c r="P3" s="2">
        <v>4.6489037360000003</v>
      </c>
      <c r="Q3" s="2">
        <v>2.5775199999999998</v>
      </c>
      <c r="R3" s="2">
        <v>1.1753199999999999</v>
      </c>
      <c r="S3" s="2">
        <v>2.1930367899999998</v>
      </c>
      <c r="T3" s="2">
        <v>3.75284</v>
      </c>
      <c r="U3" s="2">
        <v>29.67</v>
      </c>
      <c r="V3" s="2">
        <v>30.186</v>
      </c>
      <c r="W3" s="2">
        <v>1640</v>
      </c>
      <c r="X3" s="2">
        <v>143.6491935</v>
      </c>
      <c r="Y3" s="2">
        <v>13.4123</v>
      </c>
      <c r="Z3" s="2">
        <v>3</v>
      </c>
      <c r="AA3" s="2">
        <v>0.95027053900000003</v>
      </c>
      <c r="AB3" s="2">
        <v>0.56000000000000005</v>
      </c>
      <c r="AC3" s="2">
        <v>-1.2811522719999999</v>
      </c>
      <c r="AD3" s="2">
        <v>-1.777529908</v>
      </c>
      <c r="AE3" s="2">
        <v>1.8241379360000001</v>
      </c>
      <c r="AF3" s="2">
        <v>-1.163236084</v>
      </c>
      <c r="AG3" s="2">
        <v>-1.2745860440000001</v>
      </c>
      <c r="AH3" s="2">
        <v>0.54156385399999996</v>
      </c>
      <c r="AI3" s="2">
        <v>-1.5811076799999999</v>
      </c>
      <c r="AJ3" s="2">
        <v>-1.2524522870000001</v>
      </c>
      <c r="AK3" s="2">
        <v>-2.000854409</v>
      </c>
      <c r="AL3" s="2">
        <v>-0.15912960100000001</v>
      </c>
    </row>
    <row r="4" spans="1:38" ht="16" customHeight="1" x14ac:dyDescent="0.35">
      <c r="A4" s="11" t="s">
        <v>560</v>
      </c>
      <c r="B4" s="1" t="s">
        <v>14</v>
      </c>
      <c r="C4" s="2">
        <v>3</v>
      </c>
      <c r="D4" s="2">
        <v>101.715667</v>
      </c>
      <c r="E4" s="2">
        <v>29.749732000000002</v>
      </c>
      <c r="F4" s="2">
        <v>4378</v>
      </c>
      <c r="G4" s="2">
        <v>41.5</v>
      </c>
      <c r="H4" s="2">
        <v>58.9</v>
      </c>
      <c r="I4" s="2">
        <v>6.75</v>
      </c>
      <c r="J4" s="2">
        <v>674</v>
      </c>
      <c r="K4" s="2">
        <v>5.1895120180000003</v>
      </c>
      <c r="L4" s="2">
        <v>1.6273167829999999</v>
      </c>
      <c r="M4" s="2">
        <v>0.83803517100000002</v>
      </c>
      <c r="N4" s="2">
        <v>293.10835680000002</v>
      </c>
      <c r="O4" s="2">
        <v>12.871189770000001</v>
      </c>
      <c r="P4" s="2">
        <v>4.2757350389999997</v>
      </c>
      <c r="Q4" s="2">
        <v>2.8741850000000002</v>
      </c>
      <c r="R4" s="2">
        <v>0.77022999999999997</v>
      </c>
      <c r="S4" s="2">
        <v>3.7315931600000001</v>
      </c>
      <c r="T4" s="2">
        <v>3.644415</v>
      </c>
      <c r="U4" s="2">
        <v>24.802</v>
      </c>
      <c r="V4" s="2">
        <v>31.356000000000002</v>
      </c>
      <c r="W4" s="2">
        <v>1400</v>
      </c>
      <c r="X4" s="2">
        <v>96.345514949999995</v>
      </c>
      <c r="Y4" s="2">
        <v>8.4283000000000001</v>
      </c>
      <c r="Z4" s="2">
        <v>4</v>
      </c>
      <c r="AA4" s="2">
        <v>1.2390207019999999</v>
      </c>
      <c r="AB4" s="2">
        <v>0.68879999999999997</v>
      </c>
      <c r="AC4" s="2">
        <v>-1.093659213</v>
      </c>
      <c r="AD4" s="2">
        <v>-0.41932540499999998</v>
      </c>
      <c r="AE4" s="2">
        <v>1.88956547</v>
      </c>
      <c r="AF4" s="2">
        <v>-1.777963169</v>
      </c>
      <c r="AG4" s="2">
        <v>-2.310614883</v>
      </c>
      <c r="AH4" s="2">
        <v>2.0529040090000001</v>
      </c>
      <c r="AI4" s="2">
        <v>-0.67994818499999998</v>
      </c>
      <c r="AJ4" s="2">
        <v>-2.6016741809999999</v>
      </c>
      <c r="AK4" s="2">
        <v>-1.6523035639999999</v>
      </c>
      <c r="AL4" s="2">
        <v>-1.2772633090000001</v>
      </c>
    </row>
    <row r="5" spans="1:38" ht="16" customHeight="1" x14ac:dyDescent="0.35">
      <c r="A5" s="11" t="s">
        <v>560</v>
      </c>
      <c r="B5" s="1" t="s">
        <v>14</v>
      </c>
      <c r="C5" s="2">
        <v>4</v>
      </c>
      <c r="D5" s="2">
        <v>101.715158</v>
      </c>
      <c r="E5" s="2">
        <v>29.750088000000002</v>
      </c>
      <c r="F5" s="2">
        <v>4373</v>
      </c>
      <c r="G5" s="2">
        <v>42.4</v>
      </c>
      <c r="H5" s="2">
        <v>58.8</v>
      </c>
      <c r="I5" s="2">
        <v>7.21</v>
      </c>
      <c r="J5" s="2">
        <v>678</v>
      </c>
      <c r="K5" s="2">
        <v>6.2013503569999999</v>
      </c>
      <c r="L5" s="2">
        <v>1.9793208900000001</v>
      </c>
      <c r="M5" s="2">
        <v>1.038327233</v>
      </c>
      <c r="N5" s="2">
        <v>353.65844340000001</v>
      </c>
      <c r="O5" s="2">
        <v>15.426052889999999</v>
      </c>
      <c r="P5" s="2">
        <v>4.9673863860000003</v>
      </c>
      <c r="Q5" s="2">
        <v>3.1641249999999999</v>
      </c>
      <c r="R5" s="2">
        <v>1.42239</v>
      </c>
      <c r="S5" s="2">
        <v>2.2245129676108499</v>
      </c>
      <c r="T5" s="2">
        <v>4.5865150000000003</v>
      </c>
      <c r="U5" s="2">
        <v>30.96</v>
      </c>
      <c r="V5" s="2">
        <v>27.728999999999999</v>
      </c>
      <c r="W5" s="2">
        <v>1900</v>
      </c>
      <c r="X5" s="2">
        <v>111.2588652</v>
      </c>
      <c r="Y5" s="2">
        <v>10.7843</v>
      </c>
      <c r="Z5" s="2">
        <v>4</v>
      </c>
      <c r="AA5" s="2">
        <v>1.0306631150000001</v>
      </c>
      <c r="AB5" s="2">
        <v>0.59340000000000004</v>
      </c>
      <c r="AC5" s="2">
        <v>-0.97372605599999995</v>
      </c>
      <c r="AD5" s="2">
        <v>-1.223917911</v>
      </c>
      <c r="AE5" s="2">
        <v>1.844294297</v>
      </c>
      <c r="AF5" s="2">
        <v>-0.65357737999999999</v>
      </c>
      <c r="AG5" s="2">
        <v>0.54194591400000003</v>
      </c>
      <c r="AH5" s="2">
        <v>0.70449326899999998</v>
      </c>
      <c r="AI5" s="2">
        <v>-2.2158681840000001</v>
      </c>
      <c r="AJ5" s="2">
        <v>-1.7921540680000001</v>
      </c>
      <c r="AK5" s="2">
        <v>-1.5750283350000001</v>
      </c>
      <c r="AL5" s="2">
        <v>-0.39682713200000003</v>
      </c>
    </row>
    <row r="6" spans="1:38" ht="16" customHeight="1" x14ac:dyDescent="0.35">
      <c r="A6" s="11" t="s">
        <v>560</v>
      </c>
      <c r="B6" s="1" t="s">
        <v>14</v>
      </c>
      <c r="C6" s="2">
        <v>5</v>
      </c>
      <c r="D6" s="2">
        <v>101.71446899999999</v>
      </c>
      <c r="E6" s="2">
        <v>29.750802</v>
      </c>
      <c r="F6" s="2">
        <v>4374</v>
      </c>
      <c r="G6" s="2">
        <v>40.4</v>
      </c>
      <c r="H6" s="2">
        <v>57.9</v>
      </c>
      <c r="I6" s="2">
        <v>6.85</v>
      </c>
      <c r="J6" s="2">
        <v>848</v>
      </c>
      <c r="K6" s="2">
        <v>6.4743194160000002</v>
      </c>
      <c r="L6" s="2">
        <v>1.5880822189999999</v>
      </c>
      <c r="M6" s="2">
        <v>0.96005824799999995</v>
      </c>
      <c r="N6" s="2">
        <v>261.29285709999999</v>
      </c>
      <c r="O6" s="2">
        <v>11.344137269999999</v>
      </c>
      <c r="P6" s="2">
        <v>3.5867120039999998</v>
      </c>
      <c r="Q6" s="2">
        <v>2.67449</v>
      </c>
      <c r="R6" s="2">
        <v>1.07386</v>
      </c>
      <c r="S6" s="2">
        <v>2.4905388039999998</v>
      </c>
      <c r="T6" s="2">
        <v>3.7483499999999998</v>
      </c>
      <c r="U6" s="2">
        <v>25.283999999999999</v>
      </c>
      <c r="V6" s="2">
        <v>28.547999999999998</v>
      </c>
      <c r="W6" s="2">
        <v>1480</v>
      </c>
      <c r="X6" s="2">
        <v>95.612582779999997</v>
      </c>
      <c r="Y6" s="2">
        <v>8.7583000000000002</v>
      </c>
      <c r="Z6" s="2">
        <v>5</v>
      </c>
      <c r="AA6" s="2">
        <v>1.149451019</v>
      </c>
      <c r="AB6" s="2">
        <v>0.60660000000000003</v>
      </c>
      <c r="AC6" s="2">
        <v>-0.73450922100000005</v>
      </c>
      <c r="AD6" s="2">
        <v>-0.690038029</v>
      </c>
      <c r="AE6" s="2">
        <v>1.7960014790000001</v>
      </c>
      <c r="AF6" s="2">
        <v>-1.095505451</v>
      </c>
      <c r="AG6" s="2">
        <v>-4.2586954170000002</v>
      </c>
      <c r="AH6" s="2">
        <v>0.88132313100000004</v>
      </c>
      <c r="AI6" s="2">
        <v>-1.2656820200000001</v>
      </c>
      <c r="AJ6" s="2">
        <v>-2.5088892399999998</v>
      </c>
      <c r="AK6" s="2">
        <v>-1.687935164</v>
      </c>
      <c r="AL6" s="2">
        <v>-1.3611208480000001</v>
      </c>
    </row>
    <row r="7" spans="1:38" ht="16" customHeight="1" x14ac:dyDescent="0.35">
      <c r="A7" s="12" t="s">
        <v>561</v>
      </c>
      <c r="B7" s="1" t="s">
        <v>15</v>
      </c>
      <c r="C7" s="2">
        <v>1</v>
      </c>
      <c r="D7" s="2">
        <v>101.712217</v>
      </c>
      <c r="E7" s="2">
        <v>29.750821999999999</v>
      </c>
      <c r="F7" s="2">
        <v>4338</v>
      </c>
      <c r="G7" s="2">
        <v>59.8</v>
      </c>
      <c r="H7" s="2">
        <v>32</v>
      </c>
      <c r="I7" s="2">
        <v>7.69</v>
      </c>
      <c r="J7" s="2">
        <v>977</v>
      </c>
      <c r="K7" s="2">
        <v>10.06087883</v>
      </c>
      <c r="L7" s="2">
        <v>2.729762901</v>
      </c>
      <c r="M7" s="2">
        <v>1.4024706739999999</v>
      </c>
      <c r="N7" s="2">
        <v>385.40654210000002</v>
      </c>
      <c r="O7" s="2">
        <v>18.212512409999999</v>
      </c>
      <c r="P7" s="2">
        <v>5.6303308679999997</v>
      </c>
      <c r="Q7" s="2">
        <v>3.4745900000000001</v>
      </c>
      <c r="R7" s="2">
        <v>1.47902</v>
      </c>
      <c r="S7" s="2">
        <v>2.34925153141945</v>
      </c>
      <c r="T7" s="2">
        <v>4.9536100000000003</v>
      </c>
      <c r="U7" s="2">
        <v>25.542000000000002</v>
      </c>
      <c r="V7" s="2">
        <v>29.600999999999999</v>
      </c>
      <c r="W7" s="2">
        <v>3540</v>
      </c>
      <c r="X7" s="2">
        <v>101.61564629999999</v>
      </c>
      <c r="Y7" s="2">
        <v>11.3653</v>
      </c>
      <c r="Z7" s="2">
        <v>11</v>
      </c>
      <c r="AA7" s="2">
        <v>2.2460183499999999</v>
      </c>
      <c r="AB7" s="2">
        <v>0.88500000000000001</v>
      </c>
      <c r="AC7" s="2">
        <v>-0.28648182700000002</v>
      </c>
      <c r="AD7" s="2">
        <v>4.0997635189999997</v>
      </c>
      <c r="AE7" s="2">
        <v>1.6114381550000001</v>
      </c>
      <c r="AF7" s="2">
        <v>2.2077358349999998</v>
      </c>
      <c r="AG7" s="2">
        <v>2.901167166</v>
      </c>
      <c r="AH7" s="2">
        <v>0.92682977200000005</v>
      </c>
      <c r="AI7" s="2">
        <v>-1.107804698</v>
      </c>
      <c r="AJ7" s="2">
        <v>-0.767374004</v>
      </c>
      <c r="AK7" s="2">
        <v>1.2222266660000001</v>
      </c>
      <c r="AL7" s="2">
        <v>5.3150623000000001E-2</v>
      </c>
    </row>
    <row r="8" spans="1:38" ht="16" customHeight="1" x14ac:dyDescent="0.35">
      <c r="A8" s="12" t="s">
        <v>561</v>
      </c>
      <c r="B8" s="1" t="s">
        <v>15</v>
      </c>
      <c r="C8" s="2">
        <v>2</v>
      </c>
      <c r="D8" s="2">
        <v>101.71201000000001</v>
      </c>
      <c r="E8" s="2">
        <v>29.751396</v>
      </c>
      <c r="F8" s="2">
        <v>4336</v>
      </c>
      <c r="G8" s="2">
        <v>60.6</v>
      </c>
      <c r="H8" s="2">
        <v>38.6</v>
      </c>
      <c r="I8" s="2">
        <v>7.16</v>
      </c>
      <c r="J8" s="2">
        <v>1334</v>
      </c>
      <c r="K8" s="2">
        <v>8.4032184280000006</v>
      </c>
      <c r="L8" s="2">
        <v>2.5079160840000001</v>
      </c>
      <c r="M8" s="2">
        <v>1.0545008929999999</v>
      </c>
      <c r="N8" s="2">
        <v>337.03252429999998</v>
      </c>
      <c r="O8" s="2">
        <v>14.9439528</v>
      </c>
      <c r="P8" s="2">
        <v>4.3555330420000002</v>
      </c>
      <c r="Q8" s="2">
        <v>3.1741999999999999</v>
      </c>
      <c r="R8" s="2">
        <v>0.80208000000000002</v>
      </c>
      <c r="S8" s="2">
        <v>3.9574606019999998</v>
      </c>
      <c r="T8" s="2">
        <v>3.97628</v>
      </c>
      <c r="U8" s="2">
        <v>19.608000000000001</v>
      </c>
      <c r="V8" s="2">
        <v>36.088999999999999</v>
      </c>
      <c r="W8" s="2">
        <v>3800</v>
      </c>
      <c r="X8" s="2">
        <v>109.5950704</v>
      </c>
      <c r="Y8" s="2">
        <v>15.0143</v>
      </c>
      <c r="Z8" s="2">
        <v>9</v>
      </c>
      <c r="AA8" s="2">
        <v>1.2325471219999999</v>
      </c>
      <c r="AB8" s="2">
        <v>0.63012800000000002</v>
      </c>
      <c r="AC8" s="2">
        <v>-2.8536080000000001E-3</v>
      </c>
      <c r="AD8" s="2">
        <v>0.59959454300000004</v>
      </c>
      <c r="AE8" s="2">
        <v>1.578462577</v>
      </c>
      <c r="AF8" s="2">
        <v>0.65614855900000002</v>
      </c>
      <c r="AG8" s="2">
        <v>-0.66205434900000004</v>
      </c>
      <c r="AH8" s="2">
        <v>2.3535044310000002</v>
      </c>
      <c r="AI8" s="2">
        <v>0.92422402100000001</v>
      </c>
      <c r="AJ8" s="2">
        <v>1.966188E-2</v>
      </c>
      <c r="AK8" s="2">
        <v>0.94034968500000005</v>
      </c>
      <c r="AL8" s="2">
        <v>-1.536179599</v>
      </c>
    </row>
    <row r="9" spans="1:38" ht="16" customHeight="1" x14ac:dyDescent="0.35">
      <c r="A9" s="12" t="s">
        <v>561</v>
      </c>
      <c r="B9" s="1" t="s">
        <v>15</v>
      </c>
      <c r="C9" s="2">
        <v>3</v>
      </c>
      <c r="D9" s="2">
        <v>101.71130700000001</v>
      </c>
      <c r="E9" s="2">
        <v>29.751826999999999</v>
      </c>
      <c r="F9" s="2">
        <v>4324</v>
      </c>
      <c r="G9" s="2">
        <v>56.2</v>
      </c>
      <c r="H9" s="2">
        <v>36.799999999999997</v>
      </c>
      <c r="I9" s="2">
        <v>6.92</v>
      </c>
      <c r="J9" s="2">
        <v>1607</v>
      </c>
      <c r="K9" s="2">
        <v>8.496414498</v>
      </c>
      <c r="L9" s="2">
        <v>2.5253168100000001</v>
      </c>
      <c r="M9" s="2">
        <v>1.3246245109999999</v>
      </c>
      <c r="N9" s="2">
        <v>312.67834149999999</v>
      </c>
      <c r="O9" s="2">
        <v>13.550583659999999</v>
      </c>
      <c r="P9" s="2">
        <v>4.5674272279999997</v>
      </c>
      <c r="Q9" s="2">
        <v>2.7714349999999999</v>
      </c>
      <c r="R9" s="2">
        <v>1.9035299999999999</v>
      </c>
      <c r="S9" s="2">
        <v>1.455945007</v>
      </c>
      <c r="T9" s="2">
        <v>4.6749650000000003</v>
      </c>
      <c r="U9" s="2">
        <v>20.125</v>
      </c>
      <c r="V9" s="2">
        <v>32.643000000000001</v>
      </c>
      <c r="W9" s="2">
        <v>2780</v>
      </c>
      <c r="X9" s="2">
        <v>116.93877550000001</v>
      </c>
      <c r="Y9" s="2">
        <v>9.4962999999999997</v>
      </c>
      <c r="Z9" s="2">
        <v>8</v>
      </c>
      <c r="AA9" s="2">
        <v>1.252111102</v>
      </c>
      <c r="AB9" s="2">
        <v>0.63248800000000005</v>
      </c>
      <c r="AC9" s="2">
        <v>-9.1599693999999995E-2</v>
      </c>
      <c r="AD9" s="2">
        <v>0.387476235</v>
      </c>
      <c r="AE9" s="2">
        <v>1.5042945160000001</v>
      </c>
      <c r="AF9" s="2">
        <v>1.2935881579999999</v>
      </c>
      <c r="AG9" s="2">
        <v>-1.3597314949999999</v>
      </c>
      <c r="AH9" s="2">
        <v>-0.47299344100000001</v>
      </c>
      <c r="AI9" s="2">
        <v>0.21589786</v>
      </c>
      <c r="AJ9" s="2">
        <v>-1.379166592</v>
      </c>
      <c r="AK9" s="2">
        <v>0.68252082300000005</v>
      </c>
      <c r="AL9" s="2">
        <v>-2.4328930010000001</v>
      </c>
    </row>
    <row r="10" spans="1:38" ht="16" customHeight="1" x14ac:dyDescent="0.35">
      <c r="A10" s="12" t="s">
        <v>561</v>
      </c>
      <c r="B10" s="1" t="s">
        <v>15</v>
      </c>
      <c r="C10" s="2">
        <v>4</v>
      </c>
      <c r="D10" s="2">
        <v>101.710646</v>
      </c>
      <c r="E10" s="2">
        <v>29.751984</v>
      </c>
      <c r="F10" s="2">
        <v>4303</v>
      </c>
      <c r="G10" s="2">
        <v>58.4</v>
      </c>
      <c r="H10" s="2">
        <v>36.1</v>
      </c>
      <c r="I10" s="2">
        <v>6.97</v>
      </c>
      <c r="J10" s="2">
        <v>1688</v>
      </c>
      <c r="K10" s="2">
        <v>12.119368850000001</v>
      </c>
      <c r="L10" s="2">
        <v>3.9662690710000001</v>
      </c>
      <c r="M10" s="2">
        <v>1.8031728849999999</v>
      </c>
      <c r="N10" s="2">
        <v>342.02320930000002</v>
      </c>
      <c r="O10" s="2">
        <v>15.01915709</v>
      </c>
      <c r="P10" s="2">
        <v>4.7253080269999996</v>
      </c>
      <c r="Q10" s="2">
        <v>2.6808149999999999</v>
      </c>
      <c r="R10" s="2">
        <v>2.00265</v>
      </c>
      <c r="S10" s="2">
        <v>1.3386338099999999</v>
      </c>
      <c r="T10" s="2">
        <v>4.683465</v>
      </c>
      <c r="U10" s="2">
        <v>21.155999999999999</v>
      </c>
      <c r="V10" s="2">
        <v>32.76</v>
      </c>
      <c r="W10" s="2">
        <v>2660</v>
      </c>
      <c r="X10" s="2">
        <v>106.33680560000001</v>
      </c>
      <c r="Y10" s="2">
        <v>8.4702999999999999</v>
      </c>
      <c r="Z10" s="2">
        <v>6</v>
      </c>
      <c r="AA10" s="2">
        <v>1.275624533</v>
      </c>
      <c r="AB10" s="2">
        <v>0.64180000000000004</v>
      </c>
      <c r="AC10" s="2">
        <v>0.33271268999999998</v>
      </c>
      <c r="AD10" s="2">
        <v>-4.4845995E-2</v>
      </c>
      <c r="AE10" s="2">
        <v>1.416874765</v>
      </c>
      <c r="AF10" s="2">
        <v>4.969772614</v>
      </c>
      <c r="AG10" s="2">
        <v>-0.10546319899999999</v>
      </c>
      <c r="AH10" s="2">
        <v>-0.69690527199999996</v>
      </c>
      <c r="AI10" s="2">
        <v>9.2318411000000003E-2</v>
      </c>
      <c r="AJ10" s="2">
        <v>-1.7094475309999999</v>
      </c>
      <c r="AK10" s="2">
        <v>0.89529159000000003</v>
      </c>
      <c r="AL10" s="2">
        <v>-2.4652824880000002</v>
      </c>
    </row>
    <row r="11" spans="1:38" ht="16" customHeight="1" x14ac:dyDescent="0.35">
      <c r="A11" s="12" t="s">
        <v>561</v>
      </c>
      <c r="B11" s="1" t="s">
        <v>15</v>
      </c>
      <c r="C11" s="2">
        <v>5</v>
      </c>
      <c r="D11" s="2">
        <v>101.71099599999999</v>
      </c>
      <c r="E11" s="2">
        <v>29.752829999999999</v>
      </c>
      <c r="F11" s="2">
        <v>4306</v>
      </c>
      <c r="G11" s="2">
        <v>59.2</v>
      </c>
      <c r="H11" s="2">
        <v>36.9</v>
      </c>
      <c r="I11" s="2">
        <v>7.21</v>
      </c>
      <c r="J11" s="2">
        <v>1664</v>
      </c>
      <c r="K11" s="2">
        <v>9.6467934690000003</v>
      </c>
      <c r="L11" s="2">
        <v>3.0967039110000001</v>
      </c>
      <c r="M11" s="2">
        <v>1.6419711699999999</v>
      </c>
      <c r="N11" s="2">
        <v>326.18574260000003</v>
      </c>
      <c r="O11" s="2">
        <v>14.90234375</v>
      </c>
      <c r="P11" s="2">
        <v>4.7805398659999998</v>
      </c>
      <c r="Q11" s="2">
        <v>3.0614650000000001</v>
      </c>
      <c r="R11" s="2">
        <v>0.98602999999999996</v>
      </c>
      <c r="S11" s="2">
        <v>3.1048396089999999</v>
      </c>
      <c r="T11" s="2">
        <v>4.0474949999999996</v>
      </c>
      <c r="U11" s="2">
        <v>28.251000000000001</v>
      </c>
      <c r="V11" s="2">
        <v>32.877000000000002</v>
      </c>
      <c r="W11" s="2">
        <v>3040</v>
      </c>
      <c r="X11" s="2">
        <v>149.17695470000001</v>
      </c>
      <c r="Y11" s="2">
        <v>10.779299999999999</v>
      </c>
      <c r="Z11" s="2">
        <v>8</v>
      </c>
      <c r="AA11" s="2">
        <v>1.889408931</v>
      </c>
      <c r="AB11" s="2">
        <v>0.83179999999999998</v>
      </c>
      <c r="AC11" s="2">
        <v>0.156788117</v>
      </c>
      <c r="AD11" s="2">
        <v>2.437199036</v>
      </c>
      <c r="AE11" s="2">
        <v>1.409582635</v>
      </c>
      <c r="AF11" s="2">
        <v>2.9280568740000001</v>
      </c>
      <c r="AG11" s="2">
        <v>-0.37884706899999998</v>
      </c>
      <c r="AH11" s="2">
        <v>1.587801665</v>
      </c>
      <c r="AI11" s="2">
        <v>-0.88502892499999997</v>
      </c>
      <c r="AJ11" s="2">
        <v>-0.71649486900000003</v>
      </c>
      <c r="AK11" s="2">
        <v>0.91739382999999997</v>
      </c>
      <c r="AL11" s="2">
        <v>-1.9644493380000001</v>
      </c>
    </row>
    <row r="12" spans="1:38" ht="16" customHeight="1" x14ac:dyDescent="0.35">
      <c r="A12" s="13" t="s">
        <v>562</v>
      </c>
      <c r="B12" s="1" t="s">
        <v>16</v>
      </c>
      <c r="C12" s="2">
        <v>1</v>
      </c>
      <c r="D12" s="2">
        <v>101.70711300000001</v>
      </c>
      <c r="E12" s="2">
        <v>29.757794000000001</v>
      </c>
      <c r="F12" s="2">
        <v>4216</v>
      </c>
      <c r="G12" s="2">
        <v>57</v>
      </c>
      <c r="H12" s="2">
        <v>49.6</v>
      </c>
      <c r="I12" s="2">
        <v>6.96</v>
      </c>
      <c r="J12" s="2">
        <v>592</v>
      </c>
      <c r="K12" s="2">
        <v>8.3553956990000007</v>
      </c>
      <c r="L12" s="2">
        <v>1.9902326509999999</v>
      </c>
      <c r="M12" s="2">
        <v>1.3575260469999999</v>
      </c>
      <c r="N12" s="2">
        <v>343.84951219999999</v>
      </c>
      <c r="O12" s="2">
        <v>16.111655240000001</v>
      </c>
      <c r="P12" s="2">
        <v>5.2773801200000001</v>
      </c>
      <c r="Q12" s="2">
        <v>2.906285</v>
      </c>
      <c r="R12" s="2">
        <v>1.6347499999999999</v>
      </c>
      <c r="S12" s="2">
        <v>1.7778161800000001</v>
      </c>
      <c r="T12" s="2">
        <v>4.5410349999999999</v>
      </c>
      <c r="U12" s="2">
        <v>26.058</v>
      </c>
      <c r="V12" s="2">
        <v>30.42</v>
      </c>
      <c r="W12" s="2">
        <v>3320</v>
      </c>
      <c r="X12" s="2">
        <v>177.8409091</v>
      </c>
      <c r="Y12" s="2">
        <v>17.773299999999999</v>
      </c>
      <c r="Z12" s="2">
        <v>8</v>
      </c>
      <c r="AA12" s="2">
        <v>1.281605286</v>
      </c>
      <c r="AB12" s="2">
        <v>0.56576800000000005</v>
      </c>
      <c r="AC12" s="2">
        <v>0.58976404400000004</v>
      </c>
      <c r="AD12" s="2">
        <v>0.14463008699999999</v>
      </c>
      <c r="AE12" s="2">
        <v>0.84786349900000002</v>
      </c>
      <c r="AF12" s="2">
        <v>0.81228809899999999</v>
      </c>
      <c r="AG12" s="2">
        <v>0.96481742299999995</v>
      </c>
      <c r="AH12" s="2">
        <v>6.4931178000000006E-2</v>
      </c>
      <c r="AI12" s="2">
        <v>-1.029407907</v>
      </c>
      <c r="AJ12" s="2">
        <v>0.78222454200000002</v>
      </c>
      <c r="AK12" s="2">
        <v>7.5700536999999998E-2</v>
      </c>
      <c r="AL12" s="2">
        <v>-0.74205158999999998</v>
      </c>
    </row>
    <row r="13" spans="1:38" ht="16" customHeight="1" x14ac:dyDescent="0.35">
      <c r="A13" s="13" t="s">
        <v>562</v>
      </c>
      <c r="B13" s="1" t="s">
        <v>16</v>
      </c>
      <c r="C13" s="2">
        <v>2</v>
      </c>
      <c r="D13" s="2">
        <v>101.70630800000001</v>
      </c>
      <c r="E13" s="2">
        <v>29.758945000000001</v>
      </c>
      <c r="F13" s="2">
        <v>4207</v>
      </c>
      <c r="G13" s="2">
        <v>54.9</v>
      </c>
      <c r="H13" s="2">
        <v>49.1</v>
      </c>
      <c r="I13" s="2">
        <v>7.36</v>
      </c>
      <c r="J13" s="2">
        <v>596</v>
      </c>
      <c r="K13" s="2">
        <v>7.1265302650000004</v>
      </c>
      <c r="L13" s="2">
        <v>1.6791661680000001</v>
      </c>
      <c r="M13" s="2">
        <v>0.95822158899999998</v>
      </c>
      <c r="N13" s="2">
        <v>357.27374379999998</v>
      </c>
      <c r="O13" s="2">
        <v>16.89189189</v>
      </c>
      <c r="P13" s="2">
        <v>5.4307972439999999</v>
      </c>
      <c r="Q13" s="2">
        <v>2.9016549999999999</v>
      </c>
      <c r="R13" s="2">
        <v>1.57073</v>
      </c>
      <c r="S13" s="2">
        <v>1.847328949</v>
      </c>
      <c r="T13" s="2">
        <v>4.4723850000000001</v>
      </c>
      <c r="U13" s="2">
        <v>26.574000000000002</v>
      </c>
      <c r="V13" s="2">
        <v>30.303000000000001</v>
      </c>
      <c r="W13" s="2">
        <v>3020</v>
      </c>
      <c r="X13" s="2">
        <v>182.02764980000001</v>
      </c>
      <c r="Y13" s="2">
        <v>14.658300000000001</v>
      </c>
      <c r="Z13" s="2">
        <v>9</v>
      </c>
      <c r="AA13" s="2">
        <v>1.342678219</v>
      </c>
      <c r="AB13" s="2">
        <v>0.60160000000000002</v>
      </c>
      <c r="AC13" s="2">
        <v>0.44525147199999998</v>
      </c>
      <c r="AD13" s="2">
        <v>0.67378751000000003</v>
      </c>
      <c r="AE13" s="2">
        <v>0.75325023199999996</v>
      </c>
      <c r="AF13" s="2">
        <v>-0.78356621000000004</v>
      </c>
      <c r="AG13" s="2">
        <v>1.672571595</v>
      </c>
      <c r="AH13" s="2">
        <v>0.16500082399999999</v>
      </c>
      <c r="AI13" s="2">
        <v>-1.1236350070000001</v>
      </c>
      <c r="AJ13" s="2">
        <v>0.16606104599999999</v>
      </c>
      <c r="AK13" s="2">
        <v>-6.6174178E-2</v>
      </c>
      <c r="AL13" s="2">
        <v>2.2715583000000001E-2</v>
      </c>
    </row>
    <row r="14" spans="1:38" ht="16" customHeight="1" x14ac:dyDescent="0.35">
      <c r="A14" s="13" t="s">
        <v>562</v>
      </c>
      <c r="B14" s="1" t="s">
        <v>16</v>
      </c>
      <c r="C14" s="2">
        <v>3</v>
      </c>
      <c r="D14" s="2">
        <v>101.70751</v>
      </c>
      <c r="E14" s="2">
        <v>29.760607</v>
      </c>
      <c r="F14" s="2">
        <v>4179</v>
      </c>
      <c r="G14" s="2">
        <v>60.9</v>
      </c>
      <c r="H14" s="2">
        <v>56.2</v>
      </c>
      <c r="I14" s="2">
        <v>7.06</v>
      </c>
      <c r="J14" s="2">
        <v>593</v>
      </c>
      <c r="K14" s="2">
        <v>6.5133714530000004</v>
      </c>
      <c r="L14" s="2">
        <v>1.566396181</v>
      </c>
      <c r="M14" s="2">
        <v>0.88718236900000003</v>
      </c>
      <c r="N14" s="2">
        <v>376.6572549</v>
      </c>
      <c r="O14" s="2">
        <v>16.591576889999999</v>
      </c>
      <c r="P14" s="2">
        <v>5.4219812440000004</v>
      </c>
      <c r="Q14" s="2">
        <v>3.1354150000000001</v>
      </c>
      <c r="R14" s="2">
        <v>1.2874099999999999</v>
      </c>
      <c r="S14" s="2">
        <v>2.4354440309999998</v>
      </c>
      <c r="T14" s="2">
        <v>4.4228249999999996</v>
      </c>
      <c r="U14" s="2">
        <v>19.254999999999999</v>
      </c>
      <c r="V14" s="2">
        <v>30.771000000000001</v>
      </c>
      <c r="W14" s="2">
        <v>3900</v>
      </c>
      <c r="X14" s="2">
        <v>241.07142859999999</v>
      </c>
      <c r="Y14" s="2">
        <v>17.773299999999999</v>
      </c>
      <c r="Z14" s="2">
        <v>6</v>
      </c>
      <c r="AA14" s="2">
        <v>1.5237068680000001</v>
      </c>
      <c r="AB14" s="2">
        <v>0.75219999999999998</v>
      </c>
      <c r="AC14" s="2">
        <v>0.23104697900000001</v>
      </c>
      <c r="AD14" s="2">
        <v>0.898968184</v>
      </c>
      <c r="AE14" s="2">
        <v>0.66754583700000003</v>
      </c>
      <c r="AF14" s="2">
        <v>-1.2607890349999999</v>
      </c>
      <c r="AG14" s="2">
        <v>1.9205483919999999</v>
      </c>
      <c r="AH14" s="2">
        <v>0.94238301099999999</v>
      </c>
      <c r="AI14" s="2">
        <v>-6.8601390000000003E-3</v>
      </c>
      <c r="AJ14" s="2">
        <v>1.7480800839999999</v>
      </c>
      <c r="AK14" s="2">
        <v>4.1941383999999998E-2</v>
      </c>
      <c r="AL14" s="2">
        <v>-0.55085979699999998</v>
      </c>
    </row>
    <row r="15" spans="1:38" ht="16" customHeight="1" x14ac:dyDescent="0.35">
      <c r="A15" s="13" t="s">
        <v>562</v>
      </c>
      <c r="B15" s="1" t="s">
        <v>16</v>
      </c>
      <c r="C15" s="2">
        <v>4</v>
      </c>
      <c r="D15" s="2">
        <v>101.70599799999999</v>
      </c>
      <c r="E15" s="2">
        <v>29.761638999999999</v>
      </c>
      <c r="F15" s="2">
        <v>4153</v>
      </c>
      <c r="G15" s="2">
        <v>55.4</v>
      </c>
      <c r="H15" s="2">
        <v>50.1</v>
      </c>
      <c r="I15" s="2">
        <v>7.94</v>
      </c>
      <c r="J15" s="2">
        <v>521</v>
      </c>
      <c r="K15" s="2">
        <v>8.9660153180000002</v>
      </c>
      <c r="L15" s="2">
        <v>2.1778365480000001</v>
      </c>
      <c r="M15" s="2">
        <v>1.478716546</v>
      </c>
      <c r="N15" s="2">
        <v>392.82236710000001</v>
      </c>
      <c r="O15" s="2">
        <v>17.412935319999999</v>
      </c>
      <c r="P15" s="2">
        <v>5.1834298250000002</v>
      </c>
      <c r="Q15" s="2">
        <v>3.56975</v>
      </c>
      <c r="R15" s="2">
        <v>1.31358</v>
      </c>
      <c r="S15" s="2">
        <v>2.7175733489999998</v>
      </c>
      <c r="T15" s="2">
        <v>4.8833299999999999</v>
      </c>
      <c r="U15" s="2">
        <v>22.187999999999999</v>
      </c>
      <c r="V15" s="2">
        <v>35.545999999999999</v>
      </c>
      <c r="W15" s="2">
        <v>2500</v>
      </c>
      <c r="X15" s="2">
        <v>133.2364341</v>
      </c>
      <c r="Y15" s="2">
        <v>11.8103</v>
      </c>
      <c r="Z15" s="2">
        <v>8</v>
      </c>
      <c r="AA15" s="2">
        <v>1.7188121970000001</v>
      </c>
      <c r="AB15" s="2">
        <v>0.79220000000000002</v>
      </c>
      <c r="AC15" s="2">
        <v>-0.80120345299999995</v>
      </c>
      <c r="AD15" s="2">
        <v>1.9496718470000001</v>
      </c>
      <c r="AE15" s="2">
        <v>0.50392796299999998</v>
      </c>
      <c r="AF15" s="2">
        <v>1.4681818230000001</v>
      </c>
      <c r="AG15" s="2">
        <v>2.2316689350000001</v>
      </c>
      <c r="AH15" s="2">
        <v>1.369234533</v>
      </c>
      <c r="AI15" s="2">
        <v>0.46083446</v>
      </c>
      <c r="AJ15" s="2">
        <v>-1.052334493</v>
      </c>
      <c r="AK15" s="2">
        <v>-7.8565383000000003E-2</v>
      </c>
      <c r="AL15" s="2">
        <v>1.260090331</v>
      </c>
    </row>
    <row r="16" spans="1:38" ht="16" customHeight="1" x14ac:dyDescent="0.35">
      <c r="A16" s="13" t="s">
        <v>562</v>
      </c>
      <c r="B16" s="1" t="s">
        <v>16</v>
      </c>
      <c r="C16" s="2">
        <v>5</v>
      </c>
      <c r="D16" s="2">
        <v>101.706749</v>
      </c>
      <c r="E16" s="2">
        <v>29.762547999999999</v>
      </c>
      <c r="F16" s="2">
        <v>4151</v>
      </c>
      <c r="G16" s="2">
        <v>57.8</v>
      </c>
      <c r="H16" s="2">
        <v>48.4</v>
      </c>
      <c r="I16" s="2">
        <v>7.15</v>
      </c>
      <c r="J16" s="2">
        <v>601</v>
      </c>
      <c r="K16" s="2">
        <v>6.4239049880000003</v>
      </c>
      <c r="L16" s="2">
        <v>1.4206077459999999</v>
      </c>
      <c r="M16" s="2">
        <v>0.90034197999999999</v>
      </c>
      <c r="N16" s="2">
        <v>325.3647368</v>
      </c>
      <c r="O16" s="2">
        <v>14.8996063</v>
      </c>
      <c r="P16" s="2">
        <v>4.775244957</v>
      </c>
      <c r="Q16" s="2">
        <v>3.5071300000000001</v>
      </c>
      <c r="R16" s="2">
        <v>1.9500999999999999</v>
      </c>
      <c r="S16" s="2">
        <v>1.7984359780000001</v>
      </c>
      <c r="T16" s="2">
        <v>5.45723</v>
      </c>
      <c r="U16" s="2">
        <v>20.158000000000001</v>
      </c>
      <c r="V16" s="2">
        <v>32.058</v>
      </c>
      <c r="W16" s="2">
        <v>2840</v>
      </c>
      <c r="X16" s="2">
        <v>218.42783510000001</v>
      </c>
      <c r="Y16" s="2">
        <v>13.946300000000001</v>
      </c>
      <c r="Z16" s="2">
        <v>7</v>
      </c>
      <c r="AA16" s="2">
        <v>1.6023488319999999</v>
      </c>
      <c r="AB16" s="2">
        <v>0.75819999999999999</v>
      </c>
      <c r="AC16" s="2">
        <v>0.24540937600000001</v>
      </c>
      <c r="AD16" s="2">
        <v>1.32754241</v>
      </c>
      <c r="AE16" s="2">
        <v>0.496510057</v>
      </c>
      <c r="AF16" s="2">
        <v>-1.4008121090000001</v>
      </c>
      <c r="AG16" s="2">
        <v>-0.40147933099999999</v>
      </c>
      <c r="AH16" s="2">
        <v>0.165598998</v>
      </c>
      <c r="AI16" s="2">
        <v>0.103361763</v>
      </c>
      <c r="AJ16" s="2">
        <v>0.29263405799999997</v>
      </c>
      <c r="AK16" s="2">
        <v>0.202623197</v>
      </c>
      <c r="AL16" s="2">
        <v>-0.39007533500000002</v>
      </c>
    </row>
    <row r="17" spans="1:38" ht="16" customHeight="1" x14ac:dyDescent="0.35">
      <c r="A17" s="14" t="s">
        <v>563</v>
      </c>
      <c r="B17" s="1" t="s">
        <v>17</v>
      </c>
      <c r="C17" s="2">
        <v>1</v>
      </c>
      <c r="D17" s="2">
        <v>101.692178</v>
      </c>
      <c r="E17" s="2">
        <v>29.783435999999998</v>
      </c>
      <c r="F17" s="2">
        <v>3974</v>
      </c>
      <c r="G17" s="2">
        <v>65.8</v>
      </c>
      <c r="H17" s="2">
        <v>32</v>
      </c>
      <c r="I17" s="2">
        <v>7.39</v>
      </c>
      <c r="J17" s="2">
        <v>348</v>
      </c>
      <c r="K17" s="2">
        <v>9.0484861900000002</v>
      </c>
      <c r="L17" s="2">
        <v>2.6847679489999998</v>
      </c>
      <c r="M17" s="2">
        <v>1.3524683319999999</v>
      </c>
      <c r="N17" s="2">
        <v>321.63465120000001</v>
      </c>
      <c r="O17" s="2">
        <v>13.82466281</v>
      </c>
      <c r="P17" s="2">
        <v>4.7208724999999996</v>
      </c>
      <c r="Q17" s="2">
        <v>1.4550449999999999</v>
      </c>
      <c r="R17" s="2">
        <v>2.3009900000000001</v>
      </c>
      <c r="S17" s="2">
        <v>0.63235607299999996</v>
      </c>
      <c r="T17" s="2">
        <v>3.7560349999999998</v>
      </c>
      <c r="U17" s="2">
        <v>15.093</v>
      </c>
      <c r="V17" s="2">
        <v>36.387</v>
      </c>
      <c r="W17" s="2">
        <v>3620</v>
      </c>
      <c r="X17" s="2">
        <v>206.46766170000001</v>
      </c>
      <c r="Y17" s="2">
        <v>18.040299999999998</v>
      </c>
      <c r="Z17" s="2">
        <v>5</v>
      </c>
      <c r="AA17" s="2">
        <v>0.99361339299999996</v>
      </c>
      <c r="AB17" s="2">
        <v>0.51119999999999999</v>
      </c>
      <c r="AC17" s="2">
        <v>0.32555686299999997</v>
      </c>
      <c r="AD17" s="2">
        <v>-1.3987522240000001</v>
      </c>
      <c r="AE17" s="2">
        <v>-1.2558419190000001</v>
      </c>
      <c r="AF17" s="2">
        <v>1.6990823450000001</v>
      </c>
      <c r="AG17" s="2">
        <v>-0.91397672600000002</v>
      </c>
      <c r="AH17" s="2">
        <v>-2.2003828529999998</v>
      </c>
      <c r="AI17" s="2">
        <v>1.6148630879999999</v>
      </c>
      <c r="AJ17" s="2">
        <v>1.283074601</v>
      </c>
      <c r="AK17" s="2">
        <v>1.7024547219999999</v>
      </c>
      <c r="AL17" s="2">
        <v>0.47484045699999999</v>
      </c>
    </row>
    <row r="18" spans="1:38" ht="16" customHeight="1" x14ac:dyDescent="0.35">
      <c r="A18" s="14" t="s">
        <v>563</v>
      </c>
      <c r="B18" s="1" t="s">
        <v>17</v>
      </c>
      <c r="C18" s="2">
        <v>2</v>
      </c>
      <c r="D18" s="2">
        <v>101.69115600000001</v>
      </c>
      <c r="E18" s="2">
        <v>29.783916999999999</v>
      </c>
      <c r="F18" s="2">
        <v>3955</v>
      </c>
      <c r="G18" s="2">
        <v>65.5</v>
      </c>
      <c r="H18" s="2">
        <v>31.8</v>
      </c>
      <c r="I18" s="2">
        <v>7.57</v>
      </c>
      <c r="J18" s="2">
        <v>347</v>
      </c>
      <c r="K18" s="2">
        <v>6.0392139929999997</v>
      </c>
      <c r="L18" s="2">
        <v>1.3134631430000001</v>
      </c>
      <c r="M18" s="2">
        <v>0.99437550299999999</v>
      </c>
      <c r="N18" s="2">
        <v>335.45822659999999</v>
      </c>
      <c r="O18" s="2">
        <v>15.808837656</v>
      </c>
      <c r="P18" s="2">
        <v>4.8686978129999998</v>
      </c>
      <c r="Q18" s="2">
        <v>1.125945</v>
      </c>
      <c r="R18" s="2">
        <v>3.1890700000000001</v>
      </c>
      <c r="S18" s="2">
        <v>0.35306374600000001</v>
      </c>
      <c r="T18" s="2">
        <v>4.3150149999999998</v>
      </c>
      <c r="U18" s="2">
        <v>20.382000000000001</v>
      </c>
      <c r="V18" s="2">
        <v>35.567999999999998</v>
      </c>
      <c r="W18" s="2">
        <v>3940</v>
      </c>
      <c r="X18" s="2">
        <v>307.62987010000001</v>
      </c>
      <c r="Y18" s="2">
        <v>17.773299999999999</v>
      </c>
      <c r="Z18" s="2">
        <v>5</v>
      </c>
      <c r="AA18" s="2">
        <v>1.3422414380000001</v>
      </c>
      <c r="AB18" s="2">
        <v>0.70020000000000004</v>
      </c>
      <c r="AC18" s="2">
        <v>4.6442152E-2</v>
      </c>
      <c r="AD18" s="2">
        <v>7.8131471999999993E-2</v>
      </c>
      <c r="AE18" s="2">
        <v>-1.362880468</v>
      </c>
      <c r="AF18" s="2">
        <v>-1.432643522</v>
      </c>
      <c r="AG18" s="2">
        <v>0.218342708</v>
      </c>
      <c r="AH18" s="2">
        <v>-3.4259353429999999</v>
      </c>
      <c r="AI18" s="2">
        <v>0.71916375899999996</v>
      </c>
      <c r="AJ18" s="2">
        <v>2.4066862690000002</v>
      </c>
      <c r="AK18" s="2">
        <v>1.6889253609999999</v>
      </c>
      <c r="AL18" s="2">
        <v>0.82343735100000004</v>
      </c>
    </row>
    <row r="19" spans="1:38" ht="16" customHeight="1" x14ac:dyDescent="0.35">
      <c r="A19" s="14" t="s">
        <v>563</v>
      </c>
      <c r="B19" s="1" t="s">
        <v>17</v>
      </c>
      <c r="C19" s="2">
        <v>3</v>
      </c>
      <c r="D19" s="2">
        <v>101.69041900000001</v>
      </c>
      <c r="E19" s="2">
        <v>29.784355000000001</v>
      </c>
      <c r="F19" s="2">
        <v>3956</v>
      </c>
      <c r="G19" s="2">
        <v>64.900000000000006</v>
      </c>
      <c r="H19" s="2">
        <v>31.8</v>
      </c>
      <c r="I19" s="2">
        <v>7.97</v>
      </c>
      <c r="J19" s="2">
        <v>334</v>
      </c>
      <c r="K19" s="2">
        <v>5.2063833639999997</v>
      </c>
      <c r="L19" s="2">
        <v>1.5431488849999999</v>
      </c>
      <c r="M19" s="2">
        <v>0.808993925</v>
      </c>
      <c r="N19" s="2">
        <v>353.01581279999999</v>
      </c>
      <c r="O19" s="2">
        <v>16.27906977</v>
      </c>
      <c r="P19" s="2">
        <v>5.2145368010000004</v>
      </c>
      <c r="Q19" s="2">
        <v>1.0128600000000001</v>
      </c>
      <c r="R19" s="2">
        <v>2.4967999999999999</v>
      </c>
      <c r="S19" s="2">
        <v>0.405663249</v>
      </c>
      <c r="T19" s="2">
        <v>3.5096599999999998</v>
      </c>
      <c r="U19" s="2">
        <v>16.449000000000002</v>
      </c>
      <c r="V19" s="2">
        <v>43.173000000000002</v>
      </c>
      <c r="W19" s="2">
        <v>3780</v>
      </c>
      <c r="X19" s="2">
        <v>262.60416670000001</v>
      </c>
      <c r="Y19" s="2">
        <v>18.590299999999999</v>
      </c>
      <c r="Z19" s="2">
        <v>6</v>
      </c>
      <c r="AA19" s="2">
        <v>0.80136008000000003</v>
      </c>
      <c r="AB19" s="2">
        <v>0.35039999999999999</v>
      </c>
      <c r="AC19" s="2">
        <v>0.81300298299999996</v>
      </c>
      <c r="AD19" s="2">
        <v>-2.206437266</v>
      </c>
      <c r="AE19" s="2">
        <v>-1.4036036439999999</v>
      </c>
      <c r="AF19" s="2">
        <v>-1.914385126</v>
      </c>
      <c r="AG19" s="2">
        <v>1.121727097</v>
      </c>
      <c r="AH19" s="2">
        <v>-2.8094299500000002</v>
      </c>
      <c r="AI19" s="2">
        <v>2.6754711919999998</v>
      </c>
      <c r="AJ19" s="2">
        <v>2.000384962</v>
      </c>
      <c r="AK19" s="2">
        <v>1.6409025559999999</v>
      </c>
      <c r="AL19" s="2">
        <v>1.6152324929999999</v>
      </c>
    </row>
    <row r="20" spans="1:38" ht="16" customHeight="1" x14ac:dyDescent="0.35">
      <c r="A20" s="14" t="s">
        <v>563</v>
      </c>
      <c r="B20" s="1" t="s">
        <v>17</v>
      </c>
      <c r="C20" s="2">
        <v>4</v>
      </c>
      <c r="D20" s="2">
        <v>101.6892</v>
      </c>
      <c r="E20" s="2">
        <v>29.785057999999999</v>
      </c>
      <c r="F20" s="2">
        <v>3926</v>
      </c>
      <c r="G20" s="2">
        <v>64.7</v>
      </c>
      <c r="H20" s="2">
        <v>37.4</v>
      </c>
      <c r="I20" s="2">
        <v>7.64</v>
      </c>
      <c r="J20" s="2">
        <v>340</v>
      </c>
      <c r="K20" s="2">
        <v>7.3271761260000003</v>
      </c>
      <c r="L20" s="2">
        <v>1.857140588</v>
      </c>
      <c r="M20" s="2">
        <v>0.96103518499999996</v>
      </c>
      <c r="N20" s="2">
        <v>345.30439250000001</v>
      </c>
      <c r="O20" s="2">
        <v>15.43414634</v>
      </c>
      <c r="P20" s="2">
        <v>5.3031436330000004</v>
      </c>
      <c r="Q20" s="2">
        <v>0.92402499999999999</v>
      </c>
      <c r="R20" s="2">
        <v>2.8910300000000002</v>
      </c>
      <c r="S20" s="2">
        <v>0.319617922</v>
      </c>
      <c r="T20" s="2">
        <v>3.8150550000000001</v>
      </c>
      <c r="U20" s="2">
        <v>17.997</v>
      </c>
      <c r="V20" s="2">
        <v>38.493000000000002</v>
      </c>
      <c r="W20" s="2">
        <v>3840</v>
      </c>
      <c r="X20" s="2">
        <v>251.45228220000001</v>
      </c>
      <c r="Y20" s="2">
        <v>20.621300000000002</v>
      </c>
      <c r="Z20" s="2">
        <v>8</v>
      </c>
      <c r="AA20" s="2">
        <v>1.693870239</v>
      </c>
      <c r="AB20" s="2">
        <v>0.74980000000000002</v>
      </c>
      <c r="AC20" s="2">
        <v>0.66929848599999997</v>
      </c>
      <c r="AD20" s="2">
        <v>1.7155951119999999</v>
      </c>
      <c r="AE20" s="2">
        <v>-1.555442115</v>
      </c>
      <c r="AF20" s="2">
        <v>-0.53924129200000004</v>
      </c>
      <c r="AG20" s="2">
        <v>0.78413361400000003</v>
      </c>
      <c r="AH20" s="2">
        <v>-3.2934692619999999</v>
      </c>
      <c r="AI20" s="2">
        <v>1.5944043880000001</v>
      </c>
      <c r="AJ20" s="2">
        <v>2.23685738</v>
      </c>
      <c r="AK20" s="2">
        <v>1.3313977749999999</v>
      </c>
      <c r="AL20" s="2">
        <v>0.96951368599999999</v>
      </c>
    </row>
    <row r="21" spans="1:38" ht="16" customHeight="1" x14ac:dyDescent="0.35">
      <c r="A21" s="14" t="s">
        <v>563</v>
      </c>
      <c r="B21" s="1" t="s">
        <v>17</v>
      </c>
      <c r="C21" s="2">
        <v>5</v>
      </c>
      <c r="D21" s="2">
        <v>101.688709</v>
      </c>
      <c r="E21" s="2">
        <v>29.785625</v>
      </c>
      <c r="F21" s="2">
        <v>3922</v>
      </c>
      <c r="G21" s="2">
        <v>64.5</v>
      </c>
      <c r="H21" s="2">
        <v>38.200000000000003</v>
      </c>
      <c r="I21" s="2">
        <v>7.96</v>
      </c>
      <c r="J21" s="2">
        <v>294</v>
      </c>
      <c r="K21" s="2">
        <v>5.4515450640000003</v>
      </c>
      <c r="L21" s="2">
        <v>1.456815642</v>
      </c>
      <c r="M21" s="2">
        <v>0.855727554</v>
      </c>
      <c r="N21" s="2">
        <v>397.4454106</v>
      </c>
      <c r="O21" s="2">
        <v>18.290766210000001</v>
      </c>
      <c r="P21" s="2">
        <v>5.7154999999999996</v>
      </c>
      <c r="Q21" s="2">
        <v>1.195225</v>
      </c>
      <c r="R21" s="2">
        <v>2.1338300000000001</v>
      </c>
      <c r="S21" s="2">
        <v>0.56013131299999996</v>
      </c>
      <c r="T21" s="2">
        <v>3.3290549999999999</v>
      </c>
      <c r="U21" s="2">
        <v>20.253</v>
      </c>
      <c r="V21" s="2">
        <v>34.866</v>
      </c>
      <c r="W21" s="2">
        <v>4620</v>
      </c>
      <c r="X21" s="2">
        <v>294.02515720000002</v>
      </c>
      <c r="Y21" s="2">
        <v>20.354299999999999</v>
      </c>
      <c r="Z21" s="2">
        <v>4</v>
      </c>
      <c r="AA21" s="2">
        <v>0.94495757999999996</v>
      </c>
      <c r="AB21" s="2">
        <v>0.50880000000000003</v>
      </c>
      <c r="AC21" s="2">
        <v>-1.253592147</v>
      </c>
      <c r="AD21" s="2">
        <v>-1.7565765200000001</v>
      </c>
      <c r="AE21" s="2">
        <v>-1.6045301329999999</v>
      </c>
      <c r="AF21" s="2">
        <v>-1.8072423820000001</v>
      </c>
      <c r="AG21" s="2">
        <v>3.2553315490000001</v>
      </c>
      <c r="AH21" s="2">
        <v>-2.2531478580000002</v>
      </c>
      <c r="AI21" s="2">
        <v>0.60785811899999997</v>
      </c>
      <c r="AJ21" s="2">
        <v>3.091531405</v>
      </c>
      <c r="AK21" s="2">
        <v>1.2734620050000001</v>
      </c>
      <c r="AL21" s="2">
        <v>1.6595495469999999</v>
      </c>
    </row>
    <row r="22" spans="1:38" ht="16" customHeight="1" x14ac:dyDescent="0.35">
      <c r="A22" s="15" t="s">
        <v>564</v>
      </c>
      <c r="B22" s="1" t="s">
        <v>18</v>
      </c>
      <c r="C22" s="2">
        <v>1</v>
      </c>
      <c r="D22" s="2">
        <v>101.676663</v>
      </c>
      <c r="E22" s="2">
        <v>29.789864999999999</v>
      </c>
      <c r="F22" s="2">
        <v>3838</v>
      </c>
      <c r="G22" s="2">
        <v>61</v>
      </c>
      <c r="H22" s="2">
        <v>62.4</v>
      </c>
      <c r="I22" s="2">
        <v>7.36</v>
      </c>
      <c r="J22" s="2">
        <v>251</v>
      </c>
      <c r="K22" s="2">
        <v>7.4819338430000002</v>
      </c>
      <c r="L22" s="2">
        <v>1.8956088849999999</v>
      </c>
      <c r="M22" s="2">
        <v>1.040464853</v>
      </c>
      <c r="N22" s="2">
        <v>291.88408870000001</v>
      </c>
      <c r="O22" s="2">
        <v>12.42044359</v>
      </c>
      <c r="P22" s="2">
        <v>4.1718307389999998</v>
      </c>
      <c r="Q22" s="2">
        <v>3.4125649999999998</v>
      </c>
      <c r="R22" s="2">
        <v>1.5139100000000001</v>
      </c>
      <c r="S22" s="2">
        <v>2.2541399420000001</v>
      </c>
      <c r="T22" s="2">
        <v>4.9264749999999999</v>
      </c>
      <c r="U22" s="2">
        <v>13.673999999999999</v>
      </c>
      <c r="V22" s="2">
        <v>30.771000000000001</v>
      </c>
      <c r="W22" s="2">
        <v>3200</v>
      </c>
      <c r="X22" s="2">
        <v>121.7592593</v>
      </c>
      <c r="Y22" s="2">
        <v>10.7423</v>
      </c>
      <c r="Z22" s="2">
        <v>7</v>
      </c>
      <c r="AA22" s="2">
        <v>1.1783473229999999</v>
      </c>
      <c r="AB22" s="2">
        <v>0.51780000000000004</v>
      </c>
      <c r="AC22" s="2">
        <v>0.55968556300000005</v>
      </c>
      <c r="AD22" s="2">
        <v>-0.51550480499999995</v>
      </c>
      <c r="AE22" s="2">
        <v>-2.440610569</v>
      </c>
      <c r="AF22" s="2">
        <v>-0.27547400999999999</v>
      </c>
      <c r="AG22" s="2">
        <v>-2.6148491530000002</v>
      </c>
      <c r="AH22" s="2">
        <v>0.79586337399999996</v>
      </c>
      <c r="AI22" s="2">
        <v>0.77890479800000001</v>
      </c>
      <c r="AJ22" s="2">
        <v>-0.88258899300000004</v>
      </c>
      <c r="AK22" s="2">
        <v>-0.27499812000000001</v>
      </c>
      <c r="AL22" s="2">
        <v>0.57122436700000001</v>
      </c>
    </row>
    <row r="23" spans="1:38" ht="16" customHeight="1" x14ac:dyDescent="0.35">
      <c r="A23" s="15" t="s">
        <v>564</v>
      </c>
      <c r="B23" s="1" t="s">
        <v>18</v>
      </c>
      <c r="C23" s="2">
        <v>2</v>
      </c>
      <c r="D23" s="2">
        <v>101.67584100000001</v>
      </c>
      <c r="E23" s="2">
        <v>29.790026999999998</v>
      </c>
      <c r="F23" s="2">
        <v>3819</v>
      </c>
      <c r="G23" s="2">
        <v>61.7</v>
      </c>
      <c r="H23" s="2">
        <v>62.4</v>
      </c>
      <c r="I23" s="2">
        <v>7.64</v>
      </c>
      <c r="J23" s="2">
        <v>285</v>
      </c>
      <c r="K23" s="2">
        <v>6.9857581350000002</v>
      </c>
      <c r="L23" s="2">
        <v>1.611180321</v>
      </c>
      <c r="M23" s="2">
        <v>0.94918543899999996</v>
      </c>
      <c r="N23" s="2">
        <v>317.32970299999999</v>
      </c>
      <c r="O23" s="2">
        <v>13.80629302</v>
      </c>
      <c r="P23" s="2">
        <v>4.4357763290000003</v>
      </c>
      <c r="Q23" s="2">
        <v>3.33996</v>
      </c>
      <c r="R23" s="2">
        <v>1.2010799999999999</v>
      </c>
      <c r="S23" s="2">
        <v>2.780797282</v>
      </c>
      <c r="T23" s="2">
        <v>4.5410399999999997</v>
      </c>
      <c r="U23" s="2">
        <v>12.513</v>
      </c>
      <c r="V23" s="2">
        <v>31.824000000000002</v>
      </c>
      <c r="W23" s="2">
        <v>3900</v>
      </c>
      <c r="X23" s="2">
        <v>239.0710383</v>
      </c>
      <c r="Y23" s="2">
        <v>13.3233</v>
      </c>
      <c r="Z23" s="2">
        <v>7</v>
      </c>
      <c r="AA23" s="2">
        <v>1.4436843479999999</v>
      </c>
      <c r="AB23" s="2">
        <v>0.66259999999999997</v>
      </c>
      <c r="AC23" s="2">
        <v>0.54075998400000003</v>
      </c>
      <c r="AD23" s="2">
        <v>0.61277826000000002</v>
      </c>
      <c r="AE23" s="2">
        <v>-2.5290342770000001</v>
      </c>
      <c r="AF23" s="2">
        <v>-0.91687533600000004</v>
      </c>
      <c r="AG23" s="2">
        <v>-1.3377542689999999</v>
      </c>
      <c r="AH23" s="2">
        <v>1.366261685</v>
      </c>
      <c r="AI23" s="2">
        <v>1.136567184</v>
      </c>
      <c r="AJ23" s="2">
        <v>1.060867011</v>
      </c>
      <c r="AK23" s="2">
        <v>-0.21897151300000001</v>
      </c>
      <c r="AL23" s="2">
        <v>1.0569571149999999</v>
      </c>
    </row>
    <row r="24" spans="1:38" ht="16" customHeight="1" x14ac:dyDescent="0.35">
      <c r="A24" s="15" t="s">
        <v>564</v>
      </c>
      <c r="B24" s="1" t="s">
        <v>18</v>
      </c>
      <c r="C24" s="2">
        <v>3</v>
      </c>
      <c r="D24" s="2">
        <v>101.67535100000001</v>
      </c>
      <c r="E24" s="2">
        <v>29.790388</v>
      </c>
      <c r="F24" s="2">
        <v>3813</v>
      </c>
      <c r="G24" s="2">
        <v>59.2</v>
      </c>
      <c r="H24" s="2">
        <v>70.5</v>
      </c>
      <c r="I24" s="2">
        <v>7.67</v>
      </c>
      <c r="J24" s="2">
        <v>253</v>
      </c>
      <c r="K24" s="2">
        <v>8.0722156349999992</v>
      </c>
      <c r="L24" s="2">
        <v>1.820923815</v>
      </c>
      <c r="M24" s="2">
        <v>1.341605596</v>
      </c>
      <c r="N24" s="2">
        <v>346.6102439</v>
      </c>
      <c r="O24" s="2">
        <v>15.748331739999999</v>
      </c>
      <c r="P24" s="2">
        <v>5.0473195530000003</v>
      </c>
      <c r="Q24" s="2">
        <v>3.48129</v>
      </c>
      <c r="R24" s="2">
        <v>1.6529</v>
      </c>
      <c r="S24" s="2">
        <v>2.1061709720000001</v>
      </c>
      <c r="T24" s="2">
        <v>5.1341900000000003</v>
      </c>
      <c r="U24" s="2">
        <v>18.864999999999998</v>
      </c>
      <c r="V24" s="2">
        <v>35.802</v>
      </c>
      <c r="W24" s="2">
        <v>3800</v>
      </c>
      <c r="X24" s="2">
        <v>200</v>
      </c>
      <c r="Y24" s="2">
        <v>10.3863</v>
      </c>
      <c r="Z24" s="2">
        <v>4</v>
      </c>
      <c r="AA24" s="2">
        <v>0.96982308800000006</v>
      </c>
      <c r="AB24" s="2">
        <v>0.50160000000000005</v>
      </c>
      <c r="AC24" s="2">
        <v>0.58031436000000003</v>
      </c>
      <c r="AD24" s="2">
        <v>-1.743199913</v>
      </c>
      <c r="AE24" s="2">
        <v>-2.576434501</v>
      </c>
      <c r="AF24" s="2">
        <v>0.51843030999999995</v>
      </c>
      <c r="AG24" s="2">
        <v>0.61730945800000003</v>
      </c>
      <c r="AH24" s="2">
        <v>0.618252421</v>
      </c>
      <c r="AI24" s="2">
        <v>0.97590249699999998</v>
      </c>
      <c r="AJ24" s="2">
        <v>0.18523213499999999</v>
      </c>
      <c r="AK24" s="2">
        <v>-0.84358924099999999</v>
      </c>
      <c r="AL24" s="2">
        <v>1.1656677950000001</v>
      </c>
    </row>
    <row r="25" spans="1:38" ht="16" customHeight="1" x14ac:dyDescent="0.35">
      <c r="A25" s="15" t="s">
        <v>564</v>
      </c>
      <c r="B25" s="1" t="s">
        <v>18</v>
      </c>
      <c r="C25" s="2">
        <v>4</v>
      </c>
      <c r="D25" s="2">
        <v>101.674667</v>
      </c>
      <c r="E25" s="2">
        <v>29.790718999999999</v>
      </c>
      <c r="F25" s="2">
        <v>3809</v>
      </c>
      <c r="G25" s="2">
        <v>58.4</v>
      </c>
      <c r="H25" s="2">
        <v>72</v>
      </c>
      <c r="I25" s="2">
        <v>7.96</v>
      </c>
      <c r="J25" s="2">
        <v>212</v>
      </c>
      <c r="K25" s="2">
        <v>5.9363778859999998</v>
      </c>
      <c r="L25" s="2">
        <v>1.434049226</v>
      </c>
      <c r="M25" s="2">
        <v>0.86209855000000002</v>
      </c>
      <c r="N25" s="2">
        <v>327.4881517</v>
      </c>
      <c r="O25" s="2">
        <v>14.950787399999999</v>
      </c>
      <c r="P25" s="2">
        <v>4.7532129630000002</v>
      </c>
      <c r="Q25" s="2">
        <v>3.107675</v>
      </c>
      <c r="R25" s="2">
        <v>2.1958899999999999</v>
      </c>
      <c r="S25" s="2">
        <v>1.4152234400000001</v>
      </c>
      <c r="T25" s="2">
        <v>5.3035649999999999</v>
      </c>
      <c r="U25" s="2">
        <v>21.058</v>
      </c>
      <c r="V25" s="2">
        <v>32.643000000000001</v>
      </c>
      <c r="W25" s="2">
        <v>3100</v>
      </c>
      <c r="X25" s="2">
        <v>159.7222222</v>
      </c>
      <c r="Y25" s="2">
        <v>16.5273</v>
      </c>
      <c r="Z25" s="2">
        <v>6</v>
      </c>
      <c r="AA25" s="2">
        <v>1.39455525</v>
      </c>
      <c r="AB25" s="2">
        <v>0.70240000000000002</v>
      </c>
      <c r="AC25" s="2">
        <v>0.40850594299999998</v>
      </c>
      <c r="AD25" s="2">
        <v>0.44174430599999998</v>
      </c>
      <c r="AE25" s="2">
        <v>-2.6249180719999998</v>
      </c>
      <c r="AF25" s="2">
        <v>-1.6435868199999999</v>
      </c>
      <c r="AG25" s="2">
        <v>-0.36958793299999998</v>
      </c>
      <c r="AH25" s="2">
        <v>-0.55848931199999996</v>
      </c>
      <c r="AI25" s="2">
        <v>8.4538124000000006E-2</v>
      </c>
      <c r="AJ25" s="2">
        <v>0.28460271100000001</v>
      </c>
      <c r="AK25" s="2">
        <v>-0.98623496399999999</v>
      </c>
      <c r="AL25" s="2">
        <v>1.7899197499999999</v>
      </c>
    </row>
    <row r="26" spans="1:38" ht="16" customHeight="1" x14ac:dyDescent="0.35">
      <c r="A26" s="15" t="s">
        <v>564</v>
      </c>
      <c r="B26" s="1" t="s">
        <v>18</v>
      </c>
      <c r="C26" s="2">
        <v>5</v>
      </c>
      <c r="D26" s="2">
        <v>101.67403400000001</v>
      </c>
      <c r="E26" s="2">
        <v>29.790703000000001</v>
      </c>
      <c r="F26" s="2">
        <v>3797</v>
      </c>
      <c r="G26" s="2">
        <v>57</v>
      </c>
      <c r="H26" s="2">
        <v>76.099999999999994</v>
      </c>
      <c r="I26" s="2">
        <v>7.67</v>
      </c>
      <c r="J26" s="2">
        <v>285</v>
      </c>
      <c r="K26" s="2">
        <v>7.9828760399999998</v>
      </c>
      <c r="L26" s="2">
        <v>2.3269705410000001</v>
      </c>
      <c r="M26" s="2">
        <v>1.2343507929999999</v>
      </c>
      <c r="N26" s="2">
        <v>336.29737089999998</v>
      </c>
      <c r="O26" s="2">
        <v>15.20833333</v>
      </c>
      <c r="P26" s="2">
        <v>4.4789167479999996</v>
      </c>
      <c r="Q26" s="2">
        <v>3.165575</v>
      </c>
      <c r="R26" s="2">
        <v>2.06501</v>
      </c>
      <c r="S26" s="2">
        <v>1.532958678</v>
      </c>
      <c r="T26" s="2">
        <v>5.2305849999999996</v>
      </c>
      <c r="U26" s="2">
        <v>14.448</v>
      </c>
      <c r="V26" s="2">
        <v>29.952000000000002</v>
      </c>
      <c r="W26" s="2">
        <v>4500</v>
      </c>
      <c r="X26" s="2">
        <v>196.85990340000001</v>
      </c>
      <c r="Y26" s="2">
        <v>9.4962999999999997</v>
      </c>
      <c r="Z26" s="2">
        <v>4</v>
      </c>
      <c r="AA26" s="2">
        <v>0.67999156900000002</v>
      </c>
      <c r="AB26" s="2">
        <v>0.34160000000000001</v>
      </c>
      <c r="AC26" s="2">
        <v>0.80520960900000005</v>
      </c>
      <c r="AD26" s="2">
        <v>-2.983790274</v>
      </c>
      <c r="AE26" s="2">
        <v>-2.6811213230000002</v>
      </c>
      <c r="AF26" s="2">
        <v>0.72919045100000002</v>
      </c>
      <c r="AG26" s="2">
        <v>-0.43721503299999998</v>
      </c>
      <c r="AH26" s="2">
        <v>-0.32526496500000002</v>
      </c>
      <c r="AI26" s="2">
        <v>0.51888522100000001</v>
      </c>
      <c r="AJ26" s="2">
        <v>0.46105656</v>
      </c>
      <c r="AK26" s="2">
        <v>-1.3131700399999999</v>
      </c>
      <c r="AL26" s="2">
        <v>1.1147916170000001</v>
      </c>
    </row>
    <row r="28" spans="1:38" ht="16" customHeight="1" x14ac:dyDescent="0.35">
      <c r="C28" s="8" t="s">
        <v>779</v>
      </c>
      <c r="D28" s="55" t="s">
        <v>977</v>
      </c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</row>
  </sheetData>
  <mergeCells count="1">
    <mergeCell ref="D28:O28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B4A4B-845F-4D15-90DF-371A164325BC}">
  <dimension ref="A1:E54"/>
  <sheetViews>
    <sheetView topLeftCell="A31" zoomScale="85" zoomScaleNormal="85" workbookViewId="0">
      <selection activeCell="A9" sqref="A9:A10"/>
    </sheetView>
  </sheetViews>
  <sheetFormatPr defaultColWidth="8.640625" defaultRowHeight="18" customHeight="1" x14ac:dyDescent="0.35"/>
  <cols>
    <col min="1" max="1" width="23.0703125" style="32" customWidth="1"/>
    <col min="2" max="2" width="23.640625" style="17" customWidth="1"/>
    <col min="3" max="3" width="36.92578125" style="17" customWidth="1"/>
    <col min="4" max="4" width="40.5703125" style="17" customWidth="1"/>
    <col min="5" max="5" width="168" style="17" customWidth="1"/>
    <col min="6" max="16384" width="8.640625" style="17"/>
  </cols>
  <sheetData>
    <row r="1" spans="1:5" s="31" customFormat="1" ht="18" customHeight="1" x14ac:dyDescent="0.35">
      <c r="A1" s="31" t="s">
        <v>662</v>
      </c>
      <c r="B1" s="31" t="s">
        <v>23</v>
      </c>
      <c r="C1" s="31" t="s">
        <v>50</v>
      </c>
      <c r="D1" s="31" t="s">
        <v>218</v>
      </c>
      <c r="E1" s="31" t="s">
        <v>217</v>
      </c>
    </row>
    <row r="2" spans="1:5" ht="18" customHeight="1" x14ac:dyDescent="0.35">
      <c r="A2" s="56" t="s">
        <v>247</v>
      </c>
      <c r="C2" s="17" t="s">
        <v>20</v>
      </c>
      <c r="E2" s="16" t="s">
        <v>283</v>
      </c>
    </row>
    <row r="3" spans="1:5" ht="18" customHeight="1" x14ac:dyDescent="0.35">
      <c r="A3" s="56"/>
      <c r="C3" s="17" t="s">
        <v>19</v>
      </c>
      <c r="E3" s="16" t="s">
        <v>284</v>
      </c>
    </row>
    <row r="4" spans="1:5" ht="18" customHeight="1" x14ac:dyDescent="0.35">
      <c r="A4" s="56" t="s">
        <v>248</v>
      </c>
      <c r="B4" s="17" t="s">
        <v>24</v>
      </c>
      <c r="C4" s="17" t="s">
        <v>7</v>
      </c>
      <c r="D4" s="17" t="s">
        <v>31</v>
      </c>
      <c r="E4" s="17" t="s">
        <v>285</v>
      </c>
    </row>
    <row r="5" spans="1:5" ht="18" customHeight="1" x14ac:dyDescent="0.35">
      <c r="A5" s="56"/>
      <c r="B5" s="17" t="s">
        <v>25</v>
      </c>
      <c r="C5" s="17" t="s">
        <v>176</v>
      </c>
      <c r="D5" s="17" t="s">
        <v>31</v>
      </c>
      <c r="E5" s="17" t="s">
        <v>286</v>
      </c>
    </row>
    <row r="6" spans="1:5" ht="18" customHeight="1" x14ac:dyDescent="0.35">
      <c r="A6" s="56"/>
      <c r="B6" s="17" t="s">
        <v>100</v>
      </c>
      <c r="C6" s="17" t="s">
        <v>21</v>
      </c>
      <c r="D6" s="17" t="s">
        <v>32</v>
      </c>
      <c r="E6" s="17" t="s">
        <v>287</v>
      </c>
    </row>
    <row r="7" spans="1:5" ht="18" customHeight="1" x14ac:dyDescent="0.35">
      <c r="A7" s="56" t="s">
        <v>249</v>
      </c>
      <c r="B7" s="17" t="s">
        <v>27</v>
      </c>
      <c r="C7" s="17" t="s">
        <v>26</v>
      </c>
      <c r="D7" s="17" t="s">
        <v>33</v>
      </c>
      <c r="E7" s="17" t="s">
        <v>288</v>
      </c>
    </row>
    <row r="8" spans="1:5" ht="18" customHeight="1" x14ac:dyDescent="0.35">
      <c r="A8" s="56"/>
      <c r="B8" s="17" t="s">
        <v>30</v>
      </c>
      <c r="C8" s="17" t="s">
        <v>28</v>
      </c>
      <c r="D8" s="17" t="s">
        <v>29</v>
      </c>
      <c r="E8" s="17" t="s">
        <v>289</v>
      </c>
    </row>
    <row r="9" spans="1:5" ht="18" customHeight="1" x14ac:dyDescent="0.35">
      <c r="A9" s="56" t="s">
        <v>250</v>
      </c>
      <c r="B9" s="17" t="s">
        <v>34</v>
      </c>
      <c r="C9" s="17" t="s">
        <v>228</v>
      </c>
      <c r="E9" s="17" t="s">
        <v>290</v>
      </c>
    </row>
    <row r="10" spans="1:5" ht="18" customHeight="1" x14ac:dyDescent="0.35">
      <c r="A10" s="56"/>
      <c r="B10" s="17" t="s">
        <v>35</v>
      </c>
      <c r="C10" s="17" t="s">
        <v>227</v>
      </c>
      <c r="D10" s="17" t="s">
        <v>36</v>
      </c>
      <c r="E10" s="17" t="s">
        <v>291</v>
      </c>
    </row>
    <row r="11" spans="1:5" ht="18" customHeight="1" x14ac:dyDescent="0.35">
      <c r="A11" s="56" t="s">
        <v>382</v>
      </c>
      <c r="B11" s="17" t="s">
        <v>37</v>
      </c>
      <c r="C11" s="33" t="s">
        <v>9</v>
      </c>
      <c r="D11" s="17" t="s">
        <v>62</v>
      </c>
      <c r="E11" s="17" t="s">
        <v>292</v>
      </c>
    </row>
    <row r="12" spans="1:5" ht="18" customHeight="1" x14ac:dyDescent="0.35">
      <c r="A12" s="56"/>
      <c r="B12" s="17" t="s">
        <v>38</v>
      </c>
      <c r="C12" s="33" t="s">
        <v>10</v>
      </c>
      <c r="D12" s="17" t="s">
        <v>62</v>
      </c>
      <c r="E12" s="17" t="s">
        <v>293</v>
      </c>
    </row>
    <row r="13" spans="1:5" ht="18" customHeight="1" x14ac:dyDescent="0.35">
      <c r="A13" s="56"/>
      <c r="B13" s="17" t="s">
        <v>39</v>
      </c>
      <c r="C13" s="33" t="s">
        <v>11</v>
      </c>
      <c r="D13" s="17" t="s">
        <v>62</v>
      </c>
      <c r="E13" s="17" t="s">
        <v>356</v>
      </c>
    </row>
    <row r="14" spans="1:5" ht="18" customHeight="1" x14ac:dyDescent="0.35">
      <c r="A14" s="56" t="s">
        <v>383</v>
      </c>
      <c r="B14" s="17" t="s">
        <v>40</v>
      </c>
      <c r="C14" s="17" t="s">
        <v>314</v>
      </c>
      <c r="D14" s="17" t="s">
        <v>62</v>
      </c>
      <c r="E14" s="17" t="s">
        <v>294</v>
      </c>
    </row>
    <row r="15" spans="1:5" ht="18" customHeight="1" x14ac:dyDescent="0.35">
      <c r="A15" s="56"/>
      <c r="B15" s="17" t="s">
        <v>41</v>
      </c>
      <c r="C15" s="17" t="s">
        <v>315</v>
      </c>
      <c r="D15" s="17" t="s">
        <v>62</v>
      </c>
      <c r="E15" s="17" t="s">
        <v>295</v>
      </c>
    </row>
    <row r="16" spans="1:5" ht="18" customHeight="1" x14ac:dyDescent="0.35">
      <c r="A16" s="56"/>
      <c r="B16" s="17" t="s">
        <v>42</v>
      </c>
      <c r="C16" s="17" t="s">
        <v>316</v>
      </c>
      <c r="D16" s="17" t="s">
        <v>62</v>
      </c>
      <c r="E16" s="17" t="s">
        <v>296</v>
      </c>
    </row>
    <row r="17" spans="1:5" ht="18" customHeight="1" x14ac:dyDescent="0.35">
      <c r="A17" s="56" t="s">
        <v>384</v>
      </c>
      <c r="B17" s="17" t="s">
        <v>251</v>
      </c>
      <c r="C17" s="17" t="s">
        <v>317</v>
      </c>
      <c r="D17" s="17" t="s">
        <v>62</v>
      </c>
      <c r="E17" s="17" t="s">
        <v>297</v>
      </c>
    </row>
    <row r="18" spans="1:5" ht="18" customHeight="1" x14ac:dyDescent="0.35">
      <c r="A18" s="56"/>
      <c r="B18" s="17" t="s">
        <v>43</v>
      </c>
      <c r="C18" s="17" t="s">
        <v>318</v>
      </c>
      <c r="D18" s="17" t="s">
        <v>62</v>
      </c>
      <c r="E18" s="17" t="s">
        <v>298</v>
      </c>
    </row>
    <row r="19" spans="1:5" ht="18" customHeight="1" x14ac:dyDescent="0.35">
      <c r="A19" s="56"/>
      <c r="B19" s="17" t="s">
        <v>44</v>
      </c>
      <c r="C19" s="17" t="s">
        <v>319</v>
      </c>
      <c r="D19" s="17" t="s">
        <v>62</v>
      </c>
      <c r="E19" s="17" t="s">
        <v>299</v>
      </c>
    </row>
    <row r="20" spans="1:5" ht="18" customHeight="1" x14ac:dyDescent="0.35">
      <c r="A20" s="56"/>
      <c r="B20" s="17" t="s">
        <v>45</v>
      </c>
      <c r="C20" s="17" t="s">
        <v>320</v>
      </c>
      <c r="E20" s="17" t="s">
        <v>305</v>
      </c>
    </row>
    <row r="21" spans="1:5" ht="18" customHeight="1" x14ac:dyDescent="0.35">
      <c r="A21" s="56" t="s">
        <v>321</v>
      </c>
      <c r="B21" s="17" t="s">
        <v>46</v>
      </c>
      <c r="C21" s="17" t="s">
        <v>101</v>
      </c>
      <c r="D21" s="17" t="s">
        <v>47</v>
      </c>
      <c r="E21" s="17" t="s">
        <v>300</v>
      </c>
    </row>
    <row r="22" spans="1:5" ht="18" customHeight="1" x14ac:dyDescent="0.35">
      <c r="A22" s="56"/>
      <c r="B22" s="17" t="s">
        <v>49</v>
      </c>
      <c r="C22" s="17" t="s">
        <v>48</v>
      </c>
      <c r="D22" s="17" t="s">
        <v>62</v>
      </c>
      <c r="E22" s="17" t="s">
        <v>301</v>
      </c>
    </row>
    <row r="23" spans="1:5" ht="18" customHeight="1" x14ac:dyDescent="0.35">
      <c r="A23" s="56" t="s">
        <v>385</v>
      </c>
      <c r="B23" s="17" t="s">
        <v>51</v>
      </c>
      <c r="C23" s="17" t="s">
        <v>103</v>
      </c>
      <c r="D23" s="17" t="s">
        <v>102</v>
      </c>
      <c r="E23" s="17" t="s">
        <v>302</v>
      </c>
    </row>
    <row r="24" spans="1:5" ht="18" customHeight="1" x14ac:dyDescent="0.35">
      <c r="A24" s="56"/>
      <c r="B24" s="17" t="s">
        <v>53</v>
      </c>
      <c r="C24" s="17" t="s">
        <v>52</v>
      </c>
      <c r="D24" s="17" t="s">
        <v>102</v>
      </c>
      <c r="E24" s="17" t="s">
        <v>303</v>
      </c>
    </row>
    <row r="25" spans="1:5" ht="18" customHeight="1" x14ac:dyDescent="0.35">
      <c r="A25" s="56"/>
      <c r="B25" s="17" t="s">
        <v>54</v>
      </c>
      <c r="C25" s="17" t="s">
        <v>95</v>
      </c>
      <c r="D25" s="17" t="s">
        <v>96</v>
      </c>
      <c r="E25" s="17" t="s">
        <v>304</v>
      </c>
    </row>
    <row r="26" spans="1:5" ht="18" customHeight="1" x14ac:dyDescent="0.35">
      <c r="A26" s="56" t="s">
        <v>351</v>
      </c>
      <c r="B26" s="17" t="s">
        <v>55</v>
      </c>
      <c r="C26" s="17" t="s">
        <v>56</v>
      </c>
      <c r="D26" s="17" t="s">
        <v>57</v>
      </c>
      <c r="E26" s="17" t="s">
        <v>306</v>
      </c>
    </row>
    <row r="27" spans="1:5" ht="18" customHeight="1" x14ac:dyDescent="0.35">
      <c r="A27" s="56"/>
      <c r="B27" s="17" t="s">
        <v>386</v>
      </c>
      <c r="C27" s="17" t="s">
        <v>59</v>
      </c>
      <c r="E27" s="17" t="s">
        <v>307</v>
      </c>
    </row>
    <row r="28" spans="1:5" ht="18" customHeight="1" x14ac:dyDescent="0.35">
      <c r="A28" s="56"/>
      <c r="B28" s="17" t="s">
        <v>387</v>
      </c>
      <c r="C28" s="17" t="s">
        <v>60</v>
      </c>
      <c r="E28" s="17" t="s">
        <v>308</v>
      </c>
    </row>
    <row r="29" spans="1:5" ht="18" customHeight="1" x14ac:dyDescent="0.35">
      <c r="A29" s="56"/>
      <c r="B29" s="17" t="s">
        <v>111</v>
      </c>
      <c r="E29" s="17" t="s">
        <v>309</v>
      </c>
    </row>
    <row r="30" spans="1:5" ht="18" customHeight="1" x14ac:dyDescent="0.35">
      <c r="A30" s="56" t="s">
        <v>355</v>
      </c>
      <c r="B30" s="17" t="s">
        <v>219</v>
      </c>
      <c r="C30" s="33" t="s">
        <v>313</v>
      </c>
      <c r="E30" s="17" t="s">
        <v>310</v>
      </c>
    </row>
    <row r="31" spans="1:5" ht="18" customHeight="1" x14ac:dyDescent="0.35">
      <c r="A31" s="56"/>
      <c r="B31" s="17" t="s">
        <v>220</v>
      </c>
      <c r="C31" s="33" t="s">
        <v>63</v>
      </c>
      <c r="E31" s="17" t="s">
        <v>311</v>
      </c>
    </row>
    <row r="32" spans="1:5" ht="18" customHeight="1" x14ac:dyDescent="0.35">
      <c r="A32" s="56"/>
      <c r="B32" s="17" t="s">
        <v>221</v>
      </c>
      <c r="C32" s="33" t="s">
        <v>322</v>
      </c>
      <c r="E32" s="17" t="s">
        <v>324</v>
      </c>
    </row>
    <row r="33" spans="1:5" ht="18" customHeight="1" x14ac:dyDescent="0.35">
      <c r="A33" s="56"/>
      <c r="B33" s="17" t="s">
        <v>222</v>
      </c>
      <c r="C33" s="33" t="s">
        <v>323</v>
      </c>
      <c r="E33" s="17" t="s">
        <v>325</v>
      </c>
    </row>
    <row r="34" spans="1:5" ht="18" customHeight="1" x14ac:dyDescent="0.35">
      <c r="A34" s="56"/>
      <c r="B34" s="17" t="s">
        <v>223</v>
      </c>
      <c r="C34" s="33" t="s">
        <v>326</v>
      </c>
      <c r="E34" s="17" t="s">
        <v>335</v>
      </c>
    </row>
    <row r="35" spans="1:5" ht="18" customHeight="1" x14ac:dyDescent="0.35">
      <c r="A35" s="56"/>
      <c r="B35" s="17" t="s">
        <v>224</v>
      </c>
      <c r="C35" s="17" t="s">
        <v>336</v>
      </c>
      <c r="E35" s="17" t="s">
        <v>337</v>
      </c>
    </row>
    <row r="36" spans="1:5" ht="18" customHeight="1" x14ac:dyDescent="0.35">
      <c r="A36" s="56"/>
      <c r="B36" s="17" t="s">
        <v>225</v>
      </c>
      <c r="C36" s="17" t="s">
        <v>338</v>
      </c>
      <c r="E36" s="17" t="s">
        <v>339</v>
      </c>
    </row>
    <row r="37" spans="1:5" ht="18" customHeight="1" x14ac:dyDescent="0.35">
      <c r="A37" s="56" t="s">
        <v>354</v>
      </c>
      <c r="B37" s="17" t="s">
        <v>233</v>
      </c>
      <c r="C37" s="17" t="s">
        <v>340</v>
      </c>
    </row>
    <row r="38" spans="1:5" ht="18" customHeight="1" x14ac:dyDescent="0.35">
      <c r="A38" s="56"/>
      <c r="B38" s="17" t="s">
        <v>230</v>
      </c>
      <c r="C38" s="33" t="s">
        <v>342</v>
      </c>
    </row>
    <row r="39" spans="1:5" ht="18" customHeight="1" x14ac:dyDescent="0.35">
      <c r="A39" s="56"/>
      <c r="B39" s="17" t="s">
        <v>232</v>
      </c>
      <c r="C39" s="17" t="s">
        <v>341</v>
      </c>
    </row>
    <row r="40" spans="1:5" ht="18" customHeight="1" x14ac:dyDescent="0.35">
      <c r="A40" s="56"/>
      <c r="B40" s="17" t="s">
        <v>239</v>
      </c>
      <c r="C40" s="33" t="s">
        <v>343</v>
      </c>
    </row>
    <row r="41" spans="1:5" ht="18" customHeight="1" x14ac:dyDescent="0.35">
      <c r="A41" s="56"/>
      <c r="B41" s="17" t="s">
        <v>229</v>
      </c>
      <c r="C41" s="17" t="s">
        <v>344</v>
      </c>
    </row>
    <row r="42" spans="1:5" ht="18" customHeight="1" x14ac:dyDescent="0.35">
      <c r="A42" s="56"/>
      <c r="B42" s="17" t="s">
        <v>245</v>
      </c>
      <c r="C42" s="33" t="s">
        <v>246</v>
      </c>
    </row>
    <row r="43" spans="1:5" ht="18" customHeight="1" x14ac:dyDescent="0.35">
      <c r="A43" s="56"/>
      <c r="B43" s="17" t="s">
        <v>241</v>
      </c>
      <c r="C43" s="17" t="s">
        <v>345</v>
      </c>
    </row>
    <row r="44" spans="1:5" ht="18" customHeight="1" x14ac:dyDescent="0.35">
      <c r="A44" s="56"/>
      <c r="B44" s="17" t="s">
        <v>242</v>
      </c>
      <c r="C44" s="17" t="s">
        <v>346</v>
      </c>
    </row>
    <row r="45" spans="1:5" ht="18" customHeight="1" x14ac:dyDescent="0.35">
      <c r="A45" s="56"/>
      <c r="B45" s="17" t="s">
        <v>240</v>
      </c>
      <c r="C45" s="17" t="s">
        <v>347</v>
      </c>
    </row>
    <row r="46" spans="1:5" ht="18" customHeight="1" x14ac:dyDescent="0.35">
      <c r="A46" s="56"/>
      <c r="B46" s="17" t="s">
        <v>243</v>
      </c>
      <c r="C46" s="17" t="s">
        <v>348</v>
      </c>
    </row>
    <row r="47" spans="1:5" ht="18" customHeight="1" x14ac:dyDescent="0.35">
      <c r="A47" s="56"/>
      <c r="B47" s="17" t="s">
        <v>244</v>
      </c>
      <c r="C47" s="17" t="s">
        <v>349</v>
      </c>
    </row>
    <row r="48" spans="1:5" ht="18" customHeight="1" x14ac:dyDescent="0.35">
      <c r="A48" s="56"/>
      <c r="B48" s="17" t="s">
        <v>231</v>
      </c>
      <c r="C48" s="17" t="s">
        <v>350</v>
      </c>
    </row>
    <row r="49" spans="1:3" ht="18" customHeight="1" x14ac:dyDescent="0.35">
      <c r="A49" s="56" t="s">
        <v>381</v>
      </c>
      <c r="B49" s="17" t="s">
        <v>352</v>
      </c>
      <c r="C49" s="17" t="s">
        <v>353</v>
      </c>
    </row>
    <row r="50" spans="1:3" ht="18" customHeight="1" x14ac:dyDescent="0.35">
      <c r="A50" s="56"/>
      <c r="B50" s="33" t="s">
        <v>376</v>
      </c>
      <c r="C50" s="33" t="s">
        <v>234</v>
      </c>
    </row>
    <row r="51" spans="1:3" ht="18" customHeight="1" x14ac:dyDescent="0.35">
      <c r="A51" s="56"/>
      <c r="B51" s="33" t="s">
        <v>377</v>
      </c>
      <c r="C51" s="33" t="s">
        <v>235</v>
      </c>
    </row>
    <row r="52" spans="1:3" ht="18" customHeight="1" x14ac:dyDescent="0.35">
      <c r="A52" s="56"/>
      <c r="B52" s="33" t="s">
        <v>378</v>
      </c>
      <c r="C52" s="33" t="s">
        <v>236</v>
      </c>
    </row>
    <row r="53" spans="1:3" ht="18" customHeight="1" x14ac:dyDescent="0.35">
      <c r="A53" s="56"/>
      <c r="B53" s="33" t="s">
        <v>379</v>
      </c>
      <c r="C53" s="33" t="s">
        <v>237</v>
      </c>
    </row>
    <row r="54" spans="1:3" ht="18" customHeight="1" x14ac:dyDescent="0.35">
      <c r="A54" s="56"/>
      <c r="B54" s="33" t="s">
        <v>380</v>
      </c>
      <c r="C54" s="33" t="s">
        <v>238</v>
      </c>
    </row>
  </sheetData>
  <mergeCells count="13">
    <mergeCell ref="A9:A10"/>
    <mergeCell ref="A7:A8"/>
    <mergeCell ref="A2:A3"/>
    <mergeCell ref="A4:A6"/>
    <mergeCell ref="A11:A13"/>
    <mergeCell ref="A49:A54"/>
    <mergeCell ref="A30:A36"/>
    <mergeCell ref="A14:A16"/>
    <mergeCell ref="A17:A20"/>
    <mergeCell ref="A21:A22"/>
    <mergeCell ref="A23:A25"/>
    <mergeCell ref="A26:A29"/>
    <mergeCell ref="A37:A48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zoomScale="85" zoomScaleNormal="85" workbookViewId="0">
      <selection activeCell="C33" sqref="C33"/>
    </sheetView>
  </sheetViews>
  <sheetFormatPr defaultColWidth="8.640625" defaultRowHeight="18" customHeight="1" x14ac:dyDescent="0.35"/>
  <cols>
    <col min="1" max="1" width="9.28515625" style="37" customWidth="1"/>
    <col min="2" max="2" width="48.5" style="6" customWidth="1"/>
    <col min="3" max="3" width="10.0703125" style="2" customWidth="1"/>
    <col min="4" max="4" width="29" style="2" customWidth="1"/>
    <col min="5" max="16384" width="8.640625" style="2"/>
  </cols>
  <sheetData>
    <row r="1" spans="1:4" s="1" customFormat="1" ht="18" customHeight="1" x14ac:dyDescent="0.35">
      <c r="A1" s="36"/>
      <c r="B1" s="5" t="s">
        <v>226</v>
      </c>
      <c r="C1" s="1" t="s">
        <v>3</v>
      </c>
    </row>
    <row r="2" spans="1:4" s="1" customFormat="1" ht="18" customHeight="1" x14ac:dyDescent="0.35">
      <c r="A2" s="36">
        <v>1</v>
      </c>
      <c r="B2" s="5" t="s">
        <v>312</v>
      </c>
    </row>
    <row r="3" spans="1:4" ht="18" customHeight="1" x14ac:dyDescent="0.35">
      <c r="A3" s="37" t="s">
        <v>193</v>
      </c>
      <c r="B3" s="6" t="s">
        <v>0</v>
      </c>
      <c r="C3" s="2" t="s">
        <v>555</v>
      </c>
      <c r="D3" s="9" t="s">
        <v>357</v>
      </c>
    </row>
    <row r="4" spans="1:4" ht="18" customHeight="1" x14ac:dyDescent="0.35">
      <c r="A4" s="37" t="s">
        <v>756</v>
      </c>
      <c r="B4" s="6" t="s">
        <v>1</v>
      </c>
      <c r="C4" s="2" t="s">
        <v>12</v>
      </c>
    </row>
    <row r="5" spans="1:4" ht="18" customHeight="1" x14ac:dyDescent="0.35">
      <c r="A5" s="37" t="s">
        <v>194</v>
      </c>
      <c r="B5" s="6" t="s">
        <v>2</v>
      </c>
      <c r="C5" s="2" t="s">
        <v>557</v>
      </c>
    </row>
    <row r="6" spans="1:4" ht="18" customHeight="1" x14ac:dyDescent="0.35">
      <c r="B6" s="6" t="s">
        <v>8</v>
      </c>
      <c r="C6" s="2">
        <v>81.89</v>
      </c>
      <c r="D6" s="9" t="s">
        <v>556</v>
      </c>
    </row>
    <row r="7" spans="1:4" ht="18" customHeight="1" x14ac:dyDescent="0.35">
      <c r="A7" s="36" t="s">
        <v>195</v>
      </c>
      <c r="B7" s="5" t="s">
        <v>5</v>
      </c>
    </row>
    <row r="8" spans="1:4" ht="18" customHeight="1" x14ac:dyDescent="0.35">
      <c r="A8" s="37" t="s">
        <v>768</v>
      </c>
      <c r="B8" s="6" t="s">
        <v>64</v>
      </c>
      <c r="C8" s="2" t="s">
        <v>4</v>
      </c>
    </row>
    <row r="9" spans="1:4" ht="18" customHeight="1" x14ac:dyDescent="0.35">
      <c r="A9" s="37" t="s">
        <v>196</v>
      </c>
      <c r="B9" s="6" t="s">
        <v>65</v>
      </c>
      <c r="C9" s="38" t="s">
        <v>252</v>
      </c>
    </row>
    <row r="10" spans="1:4" ht="18" customHeight="1" x14ac:dyDescent="0.35">
      <c r="A10" s="37" t="s">
        <v>197</v>
      </c>
      <c r="B10" s="6" t="s">
        <v>6</v>
      </c>
      <c r="C10" s="2" t="s">
        <v>4</v>
      </c>
    </row>
    <row r="11" spans="1:4" ht="18" customHeight="1" x14ac:dyDescent="0.35">
      <c r="B11" s="6" t="s">
        <v>8</v>
      </c>
      <c r="C11" s="2">
        <v>98.86</v>
      </c>
    </row>
    <row r="12" spans="1:4" ht="18" customHeight="1" x14ac:dyDescent="0.35">
      <c r="A12" s="36" t="s">
        <v>198</v>
      </c>
      <c r="B12" s="5" t="s">
        <v>762</v>
      </c>
    </row>
    <row r="13" spans="1:4" ht="18" customHeight="1" x14ac:dyDescent="0.35">
      <c r="A13" s="37" t="s">
        <v>769</v>
      </c>
      <c r="B13" s="6" t="s">
        <v>761</v>
      </c>
      <c r="C13" s="2" t="s">
        <v>123</v>
      </c>
    </row>
    <row r="14" spans="1:4" ht="18" customHeight="1" x14ac:dyDescent="0.35">
      <c r="A14" s="37" t="s">
        <v>770</v>
      </c>
      <c r="B14" s="6" t="s">
        <v>760</v>
      </c>
      <c r="C14" s="38" t="s">
        <v>765</v>
      </c>
    </row>
    <row r="15" spans="1:4" ht="18" customHeight="1" x14ac:dyDescent="0.35">
      <c r="B15" s="6" t="s">
        <v>8</v>
      </c>
      <c r="C15" s="2">
        <v>71.31</v>
      </c>
    </row>
    <row r="16" spans="1:4" ht="18" customHeight="1" x14ac:dyDescent="0.35">
      <c r="A16" s="36" t="s">
        <v>200</v>
      </c>
      <c r="B16" s="5" t="s">
        <v>763</v>
      </c>
    </row>
    <row r="17" spans="1:3" ht="18" customHeight="1" x14ac:dyDescent="0.35">
      <c r="A17" s="37" t="s">
        <v>771</v>
      </c>
      <c r="B17" s="17" t="s">
        <v>228</v>
      </c>
      <c r="C17" s="2" t="s">
        <v>766</v>
      </c>
    </row>
    <row r="18" spans="1:3" ht="18" customHeight="1" x14ac:dyDescent="0.35">
      <c r="A18" s="37" t="s">
        <v>199</v>
      </c>
      <c r="B18" s="17" t="s">
        <v>767</v>
      </c>
      <c r="C18" s="38" t="s">
        <v>764</v>
      </c>
    </row>
    <row r="19" spans="1:3" ht="18" customHeight="1" x14ac:dyDescent="0.35">
      <c r="B19" s="6" t="s">
        <v>8</v>
      </c>
      <c r="C19" s="42">
        <v>0.78</v>
      </c>
    </row>
    <row r="20" spans="1:3" ht="18" customHeight="1" x14ac:dyDescent="0.35">
      <c r="A20" s="36" t="s">
        <v>204</v>
      </c>
      <c r="B20" s="5" t="s">
        <v>322</v>
      </c>
    </row>
    <row r="21" spans="1:3" ht="18" customHeight="1" x14ac:dyDescent="0.35">
      <c r="A21" s="37" t="s">
        <v>201</v>
      </c>
      <c r="B21" s="6" t="s">
        <v>68</v>
      </c>
      <c r="C21" s="2" t="s">
        <v>13</v>
      </c>
    </row>
    <row r="22" spans="1:3" ht="18" customHeight="1" x14ac:dyDescent="0.35">
      <c r="A22" s="37" t="s">
        <v>202</v>
      </c>
      <c r="B22" s="6" t="s">
        <v>67</v>
      </c>
      <c r="C22" s="2" t="s">
        <v>113</v>
      </c>
    </row>
    <row r="23" spans="1:3" ht="18" customHeight="1" x14ac:dyDescent="0.35">
      <c r="A23" s="37" t="s">
        <v>203</v>
      </c>
      <c r="B23" s="6" t="s">
        <v>66</v>
      </c>
      <c r="C23" s="2" t="s">
        <v>113</v>
      </c>
    </row>
    <row r="24" spans="1:3" ht="18" customHeight="1" x14ac:dyDescent="0.35">
      <c r="B24" s="6" t="s">
        <v>8</v>
      </c>
      <c r="C24" s="2">
        <v>93.77</v>
      </c>
    </row>
    <row r="25" spans="1:3" ht="18" customHeight="1" x14ac:dyDescent="0.35">
      <c r="A25" s="36" t="s">
        <v>208</v>
      </c>
      <c r="B25" s="5" t="s">
        <v>327</v>
      </c>
    </row>
    <row r="26" spans="1:3" ht="18" customHeight="1" x14ac:dyDescent="0.35">
      <c r="A26" s="37" t="s">
        <v>205</v>
      </c>
      <c r="B26" s="6" t="s">
        <v>328</v>
      </c>
      <c r="C26" s="2" t="s">
        <v>13</v>
      </c>
    </row>
    <row r="27" spans="1:3" ht="18" customHeight="1" x14ac:dyDescent="0.35">
      <c r="A27" s="37" t="s">
        <v>206</v>
      </c>
      <c r="B27" s="6" t="s">
        <v>329</v>
      </c>
      <c r="C27" s="2" t="s">
        <v>12</v>
      </c>
    </row>
    <row r="28" spans="1:3" ht="18" customHeight="1" x14ac:dyDescent="0.35">
      <c r="A28" s="37" t="s">
        <v>207</v>
      </c>
      <c r="B28" s="6" t="s">
        <v>330</v>
      </c>
      <c r="C28" s="2" t="s">
        <v>113</v>
      </c>
    </row>
    <row r="29" spans="1:3" ht="18" customHeight="1" x14ac:dyDescent="0.35">
      <c r="B29" s="6" t="s">
        <v>8</v>
      </c>
      <c r="C29" s="2">
        <v>95.38</v>
      </c>
    </row>
    <row r="30" spans="1:3" ht="18" customHeight="1" x14ac:dyDescent="0.35">
      <c r="A30" s="36" t="s">
        <v>211</v>
      </c>
      <c r="B30" s="5" t="s">
        <v>331</v>
      </c>
    </row>
    <row r="31" spans="1:3" ht="18" customHeight="1" x14ac:dyDescent="0.35">
      <c r="A31" s="37" t="s">
        <v>209</v>
      </c>
      <c r="B31" s="6" t="s">
        <v>332</v>
      </c>
      <c r="C31" s="2" t="s">
        <v>114</v>
      </c>
    </row>
    <row r="32" spans="1:3" ht="18" customHeight="1" x14ac:dyDescent="0.35">
      <c r="A32" s="37" t="s">
        <v>210</v>
      </c>
      <c r="B32" s="6" t="s">
        <v>333</v>
      </c>
      <c r="C32" s="39" t="s">
        <v>115</v>
      </c>
    </row>
    <row r="33" spans="1:7" ht="18" customHeight="1" x14ac:dyDescent="0.35">
      <c r="A33" s="37" t="s">
        <v>772</v>
      </c>
      <c r="B33" s="6" t="s">
        <v>320</v>
      </c>
      <c r="C33" s="2" t="s">
        <v>113</v>
      </c>
    </row>
    <row r="34" spans="1:7" ht="18" customHeight="1" x14ac:dyDescent="0.35">
      <c r="B34" s="6" t="s">
        <v>8</v>
      </c>
      <c r="C34" s="2">
        <v>85.56</v>
      </c>
    </row>
    <row r="35" spans="1:7" ht="18" customHeight="1" x14ac:dyDescent="0.35">
      <c r="A35" s="36" t="s">
        <v>773</v>
      </c>
      <c r="B35" s="5" t="s">
        <v>334</v>
      </c>
    </row>
    <row r="36" spans="1:7" ht="18" customHeight="1" x14ac:dyDescent="0.35">
      <c r="A36" s="37" t="s">
        <v>774</v>
      </c>
      <c r="B36" s="6" t="s">
        <v>116</v>
      </c>
      <c r="C36" s="39" t="s">
        <v>118</v>
      </c>
    </row>
    <row r="37" spans="1:7" ht="18" customHeight="1" x14ac:dyDescent="0.35">
      <c r="A37" s="37" t="s">
        <v>212</v>
      </c>
      <c r="B37" s="6" t="s">
        <v>117</v>
      </c>
      <c r="C37" s="2" t="s">
        <v>119</v>
      </c>
    </row>
    <row r="38" spans="1:7" ht="18" customHeight="1" x14ac:dyDescent="0.35">
      <c r="B38" s="6" t="s">
        <v>8</v>
      </c>
      <c r="C38" s="2">
        <v>75.12</v>
      </c>
    </row>
    <row r="39" spans="1:7" ht="18" customHeight="1" x14ac:dyDescent="0.35">
      <c r="A39" s="36" t="s">
        <v>775</v>
      </c>
      <c r="B39" s="5" t="s">
        <v>338</v>
      </c>
    </row>
    <row r="40" spans="1:7" ht="18" customHeight="1" x14ac:dyDescent="0.35">
      <c r="A40" s="37" t="s">
        <v>776</v>
      </c>
      <c r="B40" s="6" t="s">
        <v>120</v>
      </c>
      <c r="C40" s="2" t="s">
        <v>123</v>
      </c>
    </row>
    <row r="41" spans="1:7" ht="18" customHeight="1" x14ac:dyDescent="0.35">
      <c r="A41" s="37" t="s">
        <v>777</v>
      </c>
      <c r="B41" s="6" t="s">
        <v>121</v>
      </c>
      <c r="C41" s="2" t="s">
        <v>104</v>
      </c>
    </row>
    <row r="42" spans="1:7" ht="18" customHeight="1" x14ac:dyDescent="0.35">
      <c r="A42" s="37" t="s">
        <v>778</v>
      </c>
      <c r="B42" s="6" t="s">
        <v>122</v>
      </c>
      <c r="C42" s="2" t="s">
        <v>112</v>
      </c>
    </row>
    <row r="43" spans="1:7" ht="18" customHeight="1" x14ac:dyDescent="0.35">
      <c r="B43" s="6" t="s">
        <v>8</v>
      </c>
      <c r="C43" s="2">
        <v>78.3</v>
      </c>
    </row>
    <row r="45" spans="1:7" ht="18" customHeight="1" x14ac:dyDescent="0.35">
      <c r="A45" s="1" t="s">
        <v>604</v>
      </c>
      <c r="B45" s="57"/>
      <c r="C45" s="57"/>
      <c r="D45" s="57"/>
      <c r="E45" s="57"/>
      <c r="F45" s="57"/>
      <c r="G45" s="57"/>
    </row>
    <row r="46" spans="1:7" ht="18" customHeight="1" x14ac:dyDescent="0.35">
      <c r="A46" s="37" t="s">
        <v>669</v>
      </c>
    </row>
    <row r="47" spans="1:7" ht="18" customHeight="1" x14ac:dyDescent="0.35">
      <c r="A47" s="37" t="s">
        <v>747</v>
      </c>
    </row>
    <row r="48" spans="1:7" ht="18" customHeight="1" x14ac:dyDescent="0.35">
      <c r="A48" s="37" t="s">
        <v>746</v>
      </c>
    </row>
    <row r="49" spans="1:2" ht="18" customHeight="1" x14ac:dyDescent="0.35">
      <c r="A49" s="37" t="s">
        <v>757</v>
      </c>
    </row>
    <row r="50" spans="1:2" ht="18" customHeight="1" x14ac:dyDescent="0.35">
      <c r="A50" s="37" t="s">
        <v>748</v>
      </c>
    </row>
    <row r="51" spans="1:2" ht="18" customHeight="1" x14ac:dyDescent="0.35">
      <c r="A51" s="37" t="s">
        <v>749</v>
      </c>
    </row>
    <row r="52" spans="1:2" ht="18" customHeight="1" x14ac:dyDescent="0.35">
      <c r="A52" s="37" t="s">
        <v>750</v>
      </c>
    </row>
    <row r="53" spans="1:2" ht="18" customHeight="1" x14ac:dyDescent="0.35">
      <c r="A53" s="37" t="s">
        <v>751</v>
      </c>
    </row>
    <row r="54" spans="1:2" ht="18" customHeight="1" x14ac:dyDescent="0.35">
      <c r="A54" s="37" t="s">
        <v>752</v>
      </c>
    </row>
    <row r="55" spans="1:2" ht="18" customHeight="1" x14ac:dyDescent="0.35">
      <c r="A55" s="37" t="s">
        <v>753</v>
      </c>
    </row>
    <row r="56" spans="1:2" ht="18" customHeight="1" x14ac:dyDescent="0.35">
      <c r="A56" s="37" t="s">
        <v>754</v>
      </c>
    </row>
    <row r="57" spans="1:2" ht="18" customHeight="1" x14ac:dyDescent="0.35">
      <c r="A57" s="37" t="s">
        <v>755</v>
      </c>
    </row>
    <row r="58" spans="1:2" ht="18" customHeight="1" x14ac:dyDescent="0.35">
      <c r="A58" s="40" t="s">
        <v>758</v>
      </c>
      <c r="B58" s="41"/>
    </row>
    <row r="59" spans="1:2" ht="18" customHeight="1" x14ac:dyDescent="0.35">
      <c r="A59" s="40" t="s">
        <v>759</v>
      </c>
    </row>
  </sheetData>
  <mergeCells count="1">
    <mergeCell ref="B45:G45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611E2-00FD-4EBB-8840-FA647E3AC526}">
  <dimension ref="A1:M129"/>
  <sheetViews>
    <sheetView zoomScale="85" zoomScaleNormal="85" workbookViewId="0">
      <pane xSplit="4" ySplit="2" topLeftCell="E12" activePane="bottomRight" state="frozen"/>
      <selection pane="topRight" activeCell="E1" sqref="E1"/>
      <selection pane="bottomLeft" activeCell="A2" sqref="A2"/>
      <selection pane="bottomRight" activeCell="J127" sqref="J127"/>
    </sheetView>
  </sheetViews>
  <sheetFormatPr defaultRowHeight="14.15" x14ac:dyDescent="0.35"/>
  <cols>
    <col min="1" max="1" width="9.140625" style="2"/>
    <col min="2" max="2" width="19.0703125" style="2" bestFit="1" customWidth="1"/>
    <col min="3" max="5" width="9.140625" style="2"/>
    <col min="6" max="6" width="21.140625" style="2" customWidth="1"/>
    <col min="7" max="7" width="17.7109375" style="2" customWidth="1"/>
    <col min="8" max="8" width="16.640625" style="2" customWidth="1"/>
    <col min="9" max="9" width="14.0703125" style="2" customWidth="1"/>
    <col min="10" max="10" width="9.140625" style="2"/>
    <col min="11" max="11" width="12.85546875" style="2" customWidth="1"/>
    <col min="12" max="12" width="20.42578125" style="2" customWidth="1"/>
    <col min="13" max="16384" width="9.140625" style="2"/>
  </cols>
  <sheetData>
    <row r="1" spans="1:12" s="1" customFormat="1" x14ac:dyDescent="0.35">
      <c r="A1" s="1" t="s">
        <v>605</v>
      </c>
    </row>
    <row r="2" spans="1:12" s="1" customFormat="1" x14ac:dyDescent="0.35">
      <c r="A2" s="1" t="s">
        <v>662</v>
      </c>
      <c r="B2" s="1" t="s">
        <v>571</v>
      </c>
      <c r="C2" s="1" t="s">
        <v>160</v>
      </c>
      <c r="D2" s="1" t="s">
        <v>565</v>
      </c>
      <c r="E2" s="1" t="s">
        <v>568</v>
      </c>
      <c r="F2" s="1" t="s">
        <v>566</v>
      </c>
      <c r="G2" s="1" t="s">
        <v>567</v>
      </c>
      <c r="H2" s="1" t="s">
        <v>572</v>
      </c>
      <c r="I2" s="1" t="s">
        <v>574</v>
      </c>
      <c r="J2" s="23" t="s">
        <v>573</v>
      </c>
      <c r="K2" s="1" t="s">
        <v>570</v>
      </c>
      <c r="L2" s="1" t="s">
        <v>569</v>
      </c>
    </row>
    <row r="3" spans="1:12" x14ac:dyDescent="0.35">
      <c r="A3" s="60" t="s">
        <v>606</v>
      </c>
      <c r="B3" s="2" t="s">
        <v>164</v>
      </c>
      <c r="C3" s="2" t="s">
        <v>14</v>
      </c>
      <c r="D3" s="2">
        <v>5</v>
      </c>
      <c r="E3" s="2">
        <v>39.56</v>
      </c>
      <c r="F3" s="2">
        <v>2.7627884464793899</v>
      </c>
      <c r="G3" s="2">
        <v>1.2355565547557901</v>
      </c>
      <c r="H3" s="58">
        <v>1871</v>
      </c>
      <c r="I3" s="58">
        <v>467.74</v>
      </c>
      <c r="J3" s="58">
        <v>116.49</v>
      </c>
      <c r="K3" s="58" t="s">
        <v>575</v>
      </c>
      <c r="L3" s="58">
        <v>0.95879999999999999</v>
      </c>
    </row>
    <row r="4" spans="1:12" x14ac:dyDescent="0.35">
      <c r="A4" s="61"/>
      <c r="B4" s="2" t="s">
        <v>164</v>
      </c>
      <c r="C4" s="2" t="s">
        <v>15</v>
      </c>
      <c r="D4" s="2">
        <v>5</v>
      </c>
      <c r="E4" s="2">
        <v>58.84</v>
      </c>
      <c r="F4" s="2">
        <v>1.6816658407662299</v>
      </c>
      <c r="G4" s="2">
        <v>0.75206382707852604</v>
      </c>
      <c r="H4" s="58"/>
      <c r="I4" s="58"/>
      <c r="J4" s="58"/>
      <c r="K4" s="58"/>
      <c r="L4" s="58"/>
    </row>
    <row r="5" spans="1:12" x14ac:dyDescent="0.35">
      <c r="A5" s="61"/>
      <c r="B5" s="2" t="s">
        <v>164</v>
      </c>
      <c r="C5" s="2" t="s">
        <v>16</v>
      </c>
      <c r="D5" s="2">
        <v>5</v>
      </c>
      <c r="E5" s="2">
        <v>57.2</v>
      </c>
      <c r="F5" s="2">
        <v>2.3780243901188198</v>
      </c>
      <c r="G5" s="2">
        <v>1.0634848376916299</v>
      </c>
      <c r="H5" s="58"/>
      <c r="I5" s="58"/>
      <c r="J5" s="58"/>
      <c r="K5" s="58"/>
      <c r="L5" s="58"/>
    </row>
    <row r="6" spans="1:12" x14ac:dyDescent="0.35">
      <c r="A6" s="61"/>
      <c r="B6" s="2" t="s">
        <v>164</v>
      </c>
      <c r="C6" s="2" t="s">
        <v>17</v>
      </c>
      <c r="D6" s="2">
        <v>5</v>
      </c>
      <c r="E6" s="2">
        <v>65.08</v>
      </c>
      <c r="F6" s="2">
        <v>0.54954526656136204</v>
      </c>
      <c r="G6" s="2">
        <v>0.245764114548889</v>
      </c>
      <c r="H6" s="58"/>
      <c r="I6" s="58"/>
      <c r="J6" s="58"/>
      <c r="K6" s="58"/>
      <c r="L6" s="58"/>
    </row>
    <row r="7" spans="1:12" x14ac:dyDescent="0.35">
      <c r="A7" s="61"/>
      <c r="B7" s="2" t="s">
        <v>164</v>
      </c>
      <c r="C7" s="2" t="s">
        <v>18</v>
      </c>
      <c r="D7" s="2">
        <v>5</v>
      </c>
      <c r="E7" s="2">
        <v>59.46</v>
      </c>
      <c r="F7" s="2">
        <v>1.91258986716965</v>
      </c>
      <c r="G7" s="2">
        <v>0.85533619121372395</v>
      </c>
      <c r="H7" s="58"/>
      <c r="I7" s="58"/>
      <c r="J7" s="58"/>
      <c r="K7" s="58"/>
      <c r="L7" s="58"/>
    </row>
    <row r="8" spans="1:12" s="24" customFormat="1" x14ac:dyDescent="0.35">
      <c r="A8" s="61"/>
      <c r="B8" s="24" t="s">
        <v>165</v>
      </c>
      <c r="C8" s="24" t="s">
        <v>14</v>
      </c>
      <c r="D8" s="24">
        <v>5</v>
      </c>
      <c r="E8" s="24">
        <v>58.12</v>
      </c>
      <c r="F8" s="24">
        <v>1.8308467986153301</v>
      </c>
      <c r="G8" s="24">
        <v>0.81877957961834802</v>
      </c>
      <c r="H8" s="59">
        <v>4282.6000000000004</v>
      </c>
      <c r="I8" s="59">
        <v>1070.6400000000001</v>
      </c>
      <c r="J8" s="59">
        <v>79.861999999999995</v>
      </c>
      <c r="K8" s="59" t="s">
        <v>576</v>
      </c>
      <c r="L8" s="59">
        <v>0.94110000000000005</v>
      </c>
    </row>
    <row r="9" spans="1:12" s="24" customFormat="1" x14ac:dyDescent="0.35">
      <c r="A9" s="61"/>
      <c r="B9" s="24" t="s">
        <v>165</v>
      </c>
      <c r="C9" s="24" t="s">
        <v>15</v>
      </c>
      <c r="D9" s="24">
        <v>5</v>
      </c>
      <c r="E9" s="24">
        <v>36.08</v>
      </c>
      <c r="F9" s="24">
        <v>2.45906486291029</v>
      </c>
      <c r="G9" s="24">
        <v>1.0997272389097199</v>
      </c>
      <c r="H9" s="59"/>
      <c r="I9" s="59"/>
      <c r="J9" s="59"/>
      <c r="K9" s="59"/>
      <c r="L9" s="59"/>
    </row>
    <row r="10" spans="1:12" s="24" customFormat="1" x14ac:dyDescent="0.35">
      <c r="A10" s="61"/>
      <c r="B10" s="24" t="s">
        <v>165</v>
      </c>
      <c r="C10" s="24" t="s">
        <v>16</v>
      </c>
      <c r="D10" s="24">
        <v>5</v>
      </c>
      <c r="E10" s="24">
        <v>50.68</v>
      </c>
      <c r="F10" s="24">
        <v>3.1491268631161899</v>
      </c>
      <c r="G10" s="24">
        <v>1.40833234713969</v>
      </c>
      <c r="H10" s="59"/>
      <c r="I10" s="59"/>
      <c r="J10" s="59"/>
      <c r="K10" s="59"/>
      <c r="L10" s="59"/>
    </row>
    <row r="11" spans="1:12" s="24" customFormat="1" x14ac:dyDescent="0.35">
      <c r="A11" s="61"/>
      <c r="B11" s="24" t="s">
        <v>165</v>
      </c>
      <c r="C11" s="24" t="s">
        <v>17</v>
      </c>
      <c r="D11" s="24">
        <v>5</v>
      </c>
      <c r="E11" s="24">
        <v>34.24</v>
      </c>
      <c r="F11" s="24">
        <v>3.2631273343220899</v>
      </c>
      <c r="G11" s="24">
        <v>1.4593149077563801</v>
      </c>
      <c r="H11" s="59"/>
      <c r="I11" s="59"/>
      <c r="J11" s="59"/>
      <c r="K11" s="59"/>
      <c r="L11" s="59"/>
    </row>
    <row r="12" spans="1:12" s="24" customFormat="1" x14ac:dyDescent="0.35">
      <c r="A12" s="61"/>
      <c r="B12" s="24" t="s">
        <v>165</v>
      </c>
      <c r="C12" s="24" t="s">
        <v>18</v>
      </c>
      <c r="D12" s="24">
        <v>5</v>
      </c>
      <c r="E12" s="24">
        <v>68.680000000000007</v>
      </c>
      <c r="F12" s="24">
        <v>6.0882674054282502</v>
      </c>
      <c r="G12" s="24">
        <v>2.7227559567467701</v>
      </c>
      <c r="H12" s="59"/>
      <c r="I12" s="59"/>
      <c r="J12" s="59"/>
      <c r="K12" s="59"/>
      <c r="L12" s="59"/>
    </row>
    <row r="13" spans="1:12" x14ac:dyDescent="0.35">
      <c r="A13" s="61"/>
      <c r="B13" s="2" t="s">
        <v>166</v>
      </c>
      <c r="C13" s="2" t="s">
        <v>14</v>
      </c>
      <c r="D13" s="2">
        <v>5</v>
      </c>
      <c r="E13" s="2">
        <v>7.17</v>
      </c>
      <c r="F13" s="2">
        <v>0.38652296180175399</v>
      </c>
      <c r="G13" s="2">
        <v>0.172858323490655</v>
      </c>
      <c r="H13" s="58">
        <v>1.347</v>
      </c>
      <c r="I13" s="58">
        <v>0.33673999999999998</v>
      </c>
      <c r="J13" s="58">
        <v>3.3399000000000001</v>
      </c>
      <c r="K13" s="58" t="s">
        <v>577</v>
      </c>
      <c r="L13" s="58">
        <v>0.40050000000000002</v>
      </c>
    </row>
    <row r="14" spans="1:12" x14ac:dyDescent="0.35">
      <c r="A14" s="61"/>
      <c r="B14" s="2" t="s">
        <v>166</v>
      </c>
      <c r="C14" s="2" t="s">
        <v>15</v>
      </c>
      <c r="D14" s="2">
        <v>5</v>
      </c>
      <c r="E14" s="2">
        <v>7.19</v>
      </c>
      <c r="F14" s="2">
        <v>0.30520484924063701</v>
      </c>
      <c r="G14" s="2">
        <v>0.13649175799292801</v>
      </c>
      <c r="H14" s="58"/>
      <c r="I14" s="58"/>
      <c r="J14" s="58"/>
      <c r="K14" s="58"/>
      <c r="L14" s="58"/>
    </row>
    <row r="15" spans="1:12" x14ac:dyDescent="0.35">
      <c r="A15" s="61"/>
      <c r="B15" s="2" t="s">
        <v>166</v>
      </c>
      <c r="C15" s="2" t="s">
        <v>16</v>
      </c>
      <c r="D15" s="2">
        <v>5</v>
      </c>
      <c r="E15" s="2">
        <v>7.2939999999999996</v>
      </c>
      <c r="F15" s="2">
        <v>0.390102550619706</v>
      </c>
      <c r="G15" s="2">
        <v>0.174459164276343</v>
      </c>
      <c r="H15" s="58"/>
      <c r="I15" s="58"/>
      <c r="J15" s="58"/>
      <c r="K15" s="58"/>
      <c r="L15" s="58"/>
    </row>
    <row r="16" spans="1:12" x14ac:dyDescent="0.35">
      <c r="A16" s="61"/>
      <c r="B16" s="2" t="s">
        <v>166</v>
      </c>
      <c r="C16" s="2" t="s">
        <v>17</v>
      </c>
      <c r="D16" s="2">
        <v>5</v>
      </c>
      <c r="E16" s="2">
        <v>7.7060000000000004</v>
      </c>
      <c r="F16" s="2">
        <v>0.253436382549941</v>
      </c>
      <c r="G16" s="2">
        <v>0.11334019587066201</v>
      </c>
      <c r="H16" s="58"/>
      <c r="I16" s="58"/>
      <c r="J16" s="58"/>
      <c r="K16" s="58"/>
      <c r="L16" s="58"/>
    </row>
    <row r="17" spans="1:13" x14ac:dyDescent="0.35">
      <c r="A17" s="61"/>
      <c r="B17" s="2" t="s">
        <v>166</v>
      </c>
      <c r="C17" s="2" t="s">
        <v>18</v>
      </c>
      <c r="D17" s="2">
        <v>5</v>
      </c>
      <c r="E17" s="2">
        <v>7.66</v>
      </c>
      <c r="F17" s="2">
        <v>0.21248529360875801</v>
      </c>
      <c r="G17" s="2">
        <v>9.5026312145636699E-2</v>
      </c>
      <c r="H17" s="58"/>
      <c r="I17" s="58"/>
      <c r="J17" s="58"/>
      <c r="K17" s="58"/>
      <c r="L17" s="58"/>
    </row>
    <row r="18" spans="1:13" s="24" customFormat="1" x14ac:dyDescent="0.35">
      <c r="A18" s="61"/>
      <c r="B18" s="24" t="s">
        <v>167</v>
      </c>
      <c r="C18" s="24" t="s">
        <v>14</v>
      </c>
      <c r="D18" s="24">
        <v>5</v>
      </c>
      <c r="E18" s="24">
        <v>693.8</v>
      </c>
      <c r="F18" s="24">
        <v>92.968811974769295</v>
      </c>
      <c r="G18" s="24">
        <v>41.576916672596099</v>
      </c>
      <c r="H18" s="59">
        <v>9.0074000000000005</v>
      </c>
      <c r="I18" s="59">
        <v>2.2518600000000002</v>
      </c>
      <c r="J18" s="59">
        <v>120.76</v>
      </c>
      <c r="K18" s="59" t="s">
        <v>589</v>
      </c>
      <c r="L18" s="59">
        <v>0.96020000000000005</v>
      </c>
      <c r="M18" s="24" t="s">
        <v>580</v>
      </c>
    </row>
    <row r="19" spans="1:13" s="24" customFormat="1" x14ac:dyDescent="0.35">
      <c r="A19" s="61"/>
      <c r="B19" s="24" t="s">
        <v>167</v>
      </c>
      <c r="C19" s="24" t="s">
        <v>15</v>
      </c>
      <c r="D19" s="24">
        <v>5</v>
      </c>
      <c r="E19" s="24">
        <v>1454</v>
      </c>
      <c r="F19" s="24">
        <v>301.74243983901198</v>
      </c>
      <c r="G19" s="24">
        <v>134.94332143533401</v>
      </c>
      <c r="H19" s="59"/>
      <c r="I19" s="59"/>
      <c r="J19" s="59"/>
      <c r="K19" s="59"/>
      <c r="L19" s="59"/>
      <c r="M19" s="24" t="s">
        <v>588</v>
      </c>
    </row>
    <row r="20" spans="1:13" s="24" customFormat="1" x14ac:dyDescent="0.35">
      <c r="A20" s="61"/>
      <c r="B20" s="24" t="s">
        <v>167</v>
      </c>
      <c r="C20" s="24" t="s">
        <v>16</v>
      </c>
      <c r="D20" s="24">
        <v>5</v>
      </c>
      <c r="E20" s="24">
        <v>580.6</v>
      </c>
      <c r="F20" s="24">
        <v>33.500746260344698</v>
      </c>
      <c r="G20" s="24">
        <v>14.981989187020501</v>
      </c>
      <c r="H20" s="59"/>
      <c r="I20" s="59"/>
      <c r="J20" s="59"/>
      <c r="K20" s="59"/>
      <c r="L20" s="59"/>
    </row>
    <row r="21" spans="1:13" s="24" customFormat="1" x14ac:dyDescent="0.35">
      <c r="A21" s="61"/>
      <c r="B21" s="24" t="s">
        <v>167</v>
      </c>
      <c r="C21" s="24" t="s">
        <v>17</v>
      </c>
      <c r="D21" s="24">
        <v>5</v>
      </c>
      <c r="E21" s="24">
        <v>332.6</v>
      </c>
      <c r="F21" s="24">
        <v>22.3114320472712</v>
      </c>
      <c r="G21" s="24">
        <v>9.97797574661314</v>
      </c>
      <c r="H21" s="59"/>
      <c r="I21" s="59"/>
      <c r="J21" s="59"/>
      <c r="K21" s="59"/>
      <c r="L21" s="59"/>
    </row>
    <row r="22" spans="1:13" s="24" customFormat="1" x14ac:dyDescent="0.35">
      <c r="A22" s="61"/>
      <c r="B22" s="24" t="s">
        <v>167</v>
      </c>
      <c r="C22" s="24" t="s">
        <v>18</v>
      </c>
      <c r="D22" s="24">
        <v>5</v>
      </c>
      <c r="E22" s="24">
        <v>257.2</v>
      </c>
      <c r="F22" s="24">
        <v>30.186089511561399</v>
      </c>
      <c r="G22" s="24">
        <v>13.499629624549</v>
      </c>
      <c r="H22" s="59"/>
      <c r="I22" s="59"/>
      <c r="J22" s="59"/>
      <c r="K22" s="59"/>
      <c r="L22" s="59"/>
    </row>
    <row r="23" spans="1:13" x14ac:dyDescent="0.35">
      <c r="A23" s="61"/>
      <c r="B23" s="2" t="s">
        <v>37</v>
      </c>
      <c r="C23" s="2" t="s">
        <v>14</v>
      </c>
      <c r="D23" s="2">
        <v>5</v>
      </c>
      <c r="E23" s="2">
        <v>6.0503926589999999</v>
      </c>
      <c r="F23" s="2">
        <v>0.52809459738176001</v>
      </c>
      <c r="G23" s="2">
        <v>0.2361710836592</v>
      </c>
      <c r="H23" s="58">
        <v>39.750999999999998</v>
      </c>
      <c r="I23" s="58">
        <v>9.9376999999999995</v>
      </c>
      <c r="J23" s="58">
        <v>6.9682000000000004</v>
      </c>
      <c r="K23" s="58" t="s">
        <v>578</v>
      </c>
      <c r="L23" s="58">
        <v>0.58220000000000005</v>
      </c>
    </row>
    <row r="24" spans="1:13" x14ac:dyDescent="0.35">
      <c r="A24" s="61"/>
      <c r="B24" s="2" t="s">
        <v>37</v>
      </c>
      <c r="C24" s="2" t="s">
        <v>15</v>
      </c>
      <c r="D24" s="2">
        <v>5</v>
      </c>
      <c r="E24" s="2">
        <v>9.7453348149999997</v>
      </c>
      <c r="F24" s="2">
        <v>1.5088401485977201</v>
      </c>
      <c r="G24" s="2">
        <v>0.67477382788907503</v>
      </c>
      <c r="H24" s="58"/>
      <c r="I24" s="58"/>
      <c r="J24" s="58"/>
      <c r="K24" s="58"/>
      <c r="L24" s="58"/>
    </row>
    <row r="25" spans="1:13" x14ac:dyDescent="0.35">
      <c r="A25" s="61"/>
      <c r="B25" s="2" t="s">
        <v>37</v>
      </c>
      <c r="C25" s="2" t="s">
        <v>16</v>
      </c>
      <c r="D25" s="2">
        <v>5</v>
      </c>
      <c r="E25" s="2">
        <v>7.4770435445999999</v>
      </c>
      <c r="F25" s="2">
        <v>1.1345884416632399</v>
      </c>
      <c r="G25" s="2">
        <v>0.50740337640891098</v>
      </c>
      <c r="H25" s="58"/>
      <c r="I25" s="58"/>
      <c r="J25" s="58"/>
      <c r="K25" s="58"/>
      <c r="L25" s="58"/>
    </row>
    <row r="26" spans="1:13" x14ac:dyDescent="0.35">
      <c r="A26" s="61"/>
      <c r="B26" s="2" t="s">
        <v>37</v>
      </c>
      <c r="C26" s="2" t="s">
        <v>17</v>
      </c>
      <c r="D26" s="2">
        <v>5</v>
      </c>
      <c r="E26" s="2">
        <v>6.6145609474000002</v>
      </c>
      <c r="F26" s="2">
        <v>1.58889951292592</v>
      </c>
      <c r="G26" s="2">
        <v>0.71057746406373201</v>
      </c>
      <c r="H26" s="58"/>
      <c r="I26" s="58"/>
      <c r="J26" s="58"/>
      <c r="K26" s="58"/>
      <c r="L26" s="58"/>
    </row>
    <row r="27" spans="1:13" x14ac:dyDescent="0.35">
      <c r="A27" s="61"/>
      <c r="B27" s="2" t="s">
        <v>37</v>
      </c>
      <c r="C27" s="2" t="s">
        <v>18</v>
      </c>
      <c r="D27" s="2">
        <v>5</v>
      </c>
      <c r="E27" s="2">
        <v>7.2918323078</v>
      </c>
      <c r="F27" s="2">
        <v>0.87372997254621199</v>
      </c>
      <c r="G27" s="2">
        <v>0.39074392251847101</v>
      </c>
      <c r="H27" s="58"/>
      <c r="I27" s="58"/>
      <c r="J27" s="58"/>
      <c r="K27" s="58"/>
      <c r="L27" s="58"/>
    </row>
    <row r="28" spans="1:13" s="24" customFormat="1" x14ac:dyDescent="0.35">
      <c r="A28" s="61"/>
      <c r="B28" s="24" t="s">
        <v>168</v>
      </c>
      <c r="C28" s="24" t="s">
        <v>14</v>
      </c>
      <c r="D28" s="24">
        <v>5</v>
      </c>
      <c r="E28" s="24">
        <v>1.754831252</v>
      </c>
      <c r="F28" s="24">
        <v>0.15836709669704199</v>
      </c>
      <c r="G28" s="24">
        <v>7.0823918722773799E-2</v>
      </c>
      <c r="H28" s="59">
        <v>1.0544</v>
      </c>
      <c r="I28" s="59">
        <v>0.263598</v>
      </c>
      <c r="J28" s="59">
        <v>7.0434000000000001</v>
      </c>
      <c r="K28" s="59" t="s">
        <v>581</v>
      </c>
      <c r="L28" s="59">
        <v>0.58479999999999999</v>
      </c>
      <c r="M28" s="24" t="s">
        <v>580</v>
      </c>
    </row>
    <row r="29" spans="1:13" s="24" customFormat="1" x14ac:dyDescent="0.35">
      <c r="A29" s="61"/>
      <c r="B29" s="24" t="s">
        <v>168</v>
      </c>
      <c r="C29" s="24" t="s">
        <v>15</v>
      </c>
      <c r="D29" s="24">
        <v>5</v>
      </c>
      <c r="E29" s="24">
        <v>2.9651937554000001</v>
      </c>
      <c r="F29" s="24">
        <v>0.60775591144565</v>
      </c>
      <c r="G29" s="24">
        <v>0.27179670634396302</v>
      </c>
      <c r="H29" s="59"/>
      <c r="I29" s="59"/>
      <c r="J29" s="59"/>
      <c r="K29" s="59"/>
      <c r="L29" s="59"/>
      <c r="M29" s="24" t="s">
        <v>579</v>
      </c>
    </row>
    <row r="30" spans="1:13" s="24" customFormat="1" x14ac:dyDescent="0.35">
      <c r="A30" s="61"/>
      <c r="B30" s="24" t="s">
        <v>168</v>
      </c>
      <c r="C30" s="24" t="s">
        <v>16</v>
      </c>
      <c r="D30" s="24">
        <v>5</v>
      </c>
      <c r="E30" s="24">
        <v>1.7668478588000001</v>
      </c>
      <c r="F30" s="24">
        <v>0.31087121038410298</v>
      </c>
      <c r="G30" s="24">
        <v>0.13902583173329899</v>
      </c>
      <c r="H30" s="59"/>
      <c r="I30" s="59"/>
      <c r="J30" s="59"/>
      <c r="K30" s="59"/>
      <c r="L30" s="59"/>
    </row>
    <row r="31" spans="1:13" s="24" customFormat="1" x14ac:dyDescent="0.35">
      <c r="A31" s="61"/>
      <c r="B31" s="24" t="s">
        <v>168</v>
      </c>
      <c r="C31" s="24" t="s">
        <v>17</v>
      </c>
      <c r="D31" s="24">
        <v>5</v>
      </c>
      <c r="E31" s="24">
        <v>1.7710672413999999</v>
      </c>
      <c r="F31" s="24">
        <v>0.54826087764988196</v>
      </c>
      <c r="G31" s="24">
        <v>0.245189718365766</v>
      </c>
      <c r="H31" s="59"/>
      <c r="I31" s="59"/>
      <c r="J31" s="59"/>
      <c r="K31" s="59"/>
      <c r="L31" s="59"/>
    </row>
    <row r="32" spans="1:13" s="24" customFormat="1" x14ac:dyDescent="0.35">
      <c r="A32" s="61"/>
      <c r="B32" s="24" t="s">
        <v>168</v>
      </c>
      <c r="C32" s="24" t="s">
        <v>18</v>
      </c>
      <c r="D32" s="24">
        <v>5</v>
      </c>
      <c r="E32" s="24">
        <v>1.8177465576</v>
      </c>
      <c r="F32" s="24">
        <v>0.33737032866070998</v>
      </c>
      <c r="G32" s="24">
        <v>0.15087659769535899</v>
      </c>
      <c r="H32" s="59"/>
      <c r="I32" s="59"/>
      <c r="J32" s="59"/>
      <c r="K32" s="59"/>
      <c r="L32" s="59"/>
    </row>
    <row r="33" spans="1:12" x14ac:dyDescent="0.35">
      <c r="A33" s="61"/>
      <c r="B33" s="2" t="s">
        <v>169</v>
      </c>
      <c r="C33" s="2" t="s">
        <v>14</v>
      </c>
      <c r="D33" s="2">
        <v>5</v>
      </c>
      <c r="E33" s="2">
        <v>0.97237672320000001</v>
      </c>
      <c r="F33" s="2">
        <v>9.2867276579518002E-2</v>
      </c>
      <c r="G33" s="2">
        <v>4.1531508663415297E-2</v>
      </c>
      <c r="H33" s="58">
        <v>0.72275</v>
      </c>
      <c r="I33" s="58">
        <v>0.18068699999999999</v>
      </c>
      <c r="J33" s="58">
        <v>3.5247999999999999</v>
      </c>
      <c r="K33" s="58" t="s">
        <v>582</v>
      </c>
      <c r="L33" s="58">
        <v>0.41349999999999998</v>
      </c>
    </row>
    <row r="34" spans="1:12" x14ac:dyDescent="0.35">
      <c r="A34" s="61"/>
      <c r="B34" s="2" t="s">
        <v>169</v>
      </c>
      <c r="C34" s="2" t="s">
        <v>15</v>
      </c>
      <c r="D34" s="2">
        <v>5</v>
      </c>
      <c r="E34" s="2">
        <v>1.4453480266000001</v>
      </c>
      <c r="F34" s="2">
        <v>0.28977293103291302</v>
      </c>
      <c r="G34" s="2">
        <v>0.12959039436579001</v>
      </c>
      <c r="H34" s="58"/>
      <c r="I34" s="58"/>
      <c r="J34" s="58"/>
      <c r="K34" s="58"/>
      <c r="L34" s="58"/>
    </row>
    <row r="35" spans="1:12" x14ac:dyDescent="0.35">
      <c r="A35" s="61"/>
      <c r="B35" s="2" t="s">
        <v>169</v>
      </c>
      <c r="C35" s="2" t="s">
        <v>16</v>
      </c>
      <c r="D35" s="2">
        <v>5</v>
      </c>
      <c r="E35" s="2">
        <v>1.1163977061999999</v>
      </c>
      <c r="F35" s="2">
        <v>0.28002555691176001</v>
      </c>
      <c r="G35" s="2">
        <v>0.12523123613838599</v>
      </c>
      <c r="H35" s="58"/>
      <c r="I35" s="58"/>
      <c r="J35" s="58"/>
      <c r="K35" s="58"/>
      <c r="L35" s="58"/>
    </row>
    <row r="36" spans="1:12" x14ac:dyDescent="0.35">
      <c r="A36" s="61"/>
      <c r="B36" s="2" t="s">
        <v>169</v>
      </c>
      <c r="C36" s="2" t="s">
        <v>17</v>
      </c>
      <c r="D36" s="2">
        <v>5</v>
      </c>
      <c r="E36" s="2">
        <v>0.9945200998</v>
      </c>
      <c r="F36" s="2">
        <v>0.21385247816431099</v>
      </c>
      <c r="G36" s="2">
        <v>9.5637735666437698E-2</v>
      </c>
      <c r="H36" s="58"/>
      <c r="I36" s="58"/>
      <c r="J36" s="58"/>
      <c r="K36" s="58"/>
      <c r="L36" s="58"/>
    </row>
    <row r="37" spans="1:12" x14ac:dyDescent="0.35">
      <c r="A37" s="61"/>
      <c r="B37" s="2" t="s">
        <v>169</v>
      </c>
      <c r="C37" s="2" t="s">
        <v>18</v>
      </c>
      <c r="D37" s="2">
        <v>5</v>
      </c>
      <c r="E37" s="2">
        <v>1.0855410461999999</v>
      </c>
      <c r="F37" s="2">
        <v>0.19891245456439399</v>
      </c>
      <c r="G37" s="2">
        <v>8.8956353995464602E-2</v>
      </c>
      <c r="H37" s="58"/>
      <c r="I37" s="58"/>
      <c r="J37" s="58"/>
      <c r="K37" s="58"/>
      <c r="L37" s="58"/>
    </row>
    <row r="38" spans="1:12" s="24" customFormat="1" x14ac:dyDescent="0.35">
      <c r="A38" s="62" t="s">
        <v>607</v>
      </c>
      <c r="B38" s="24" t="s">
        <v>170</v>
      </c>
      <c r="C38" s="24" t="s">
        <v>14</v>
      </c>
      <c r="D38" s="24">
        <v>5</v>
      </c>
      <c r="E38" s="24">
        <v>311.49555607999997</v>
      </c>
      <c r="F38" s="24">
        <v>36.529365862087197</v>
      </c>
      <c r="G38" s="24">
        <v>16.336429048517498</v>
      </c>
      <c r="H38" s="59">
        <v>7557.7</v>
      </c>
      <c r="I38" s="59">
        <v>1889.43</v>
      </c>
      <c r="J38" s="59">
        <v>2.3306</v>
      </c>
      <c r="K38" s="59">
        <v>9.1069999999999998E-2</v>
      </c>
      <c r="L38" s="59">
        <v>0.31790000000000002</v>
      </c>
    </row>
    <row r="39" spans="1:12" s="24" customFormat="1" x14ac:dyDescent="0.35">
      <c r="A39" s="62"/>
      <c r="B39" s="24" t="s">
        <v>170</v>
      </c>
      <c r="C39" s="24" t="s">
        <v>15</v>
      </c>
      <c r="D39" s="24">
        <v>5</v>
      </c>
      <c r="E39" s="24">
        <v>340.66527195999998</v>
      </c>
      <c r="F39" s="24">
        <v>27.430581246945199</v>
      </c>
      <c r="G39" s="24">
        <v>12.267328866100099</v>
      </c>
      <c r="H39" s="59"/>
      <c r="I39" s="59"/>
      <c r="J39" s="59"/>
      <c r="K39" s="59"/>
      <c r="L39" s="59"/>
    </row>
    <row r="40" spans="1:12" s="24" customFormat="1" x14ac:dyDescent="0.35">
      <c r="A40" s="62"/>
      <c r="B40" s="24" t="s">
        <v>170</v>
      </c>
      <c r="C40" s="24" t="s">
        <v>16</v>
      </c>
      <c r="D40" s="24">
        <v>5</v>
      </c>
      <c r="E40" s="24">
        <v>359.19352296</v>
      </c>
      <c r="F40" s="24">
        <v>26.5489740044213</v>
      </c>
      <c r="G40" s="24">
        <v>11.8730621213522</v>
      </c>
      <c r="H40" s="59"/>
      <c r="I40" s="59"/>
      <c r="J40" s="59"/>
      <c r="K40" s="59"/>
      <c r="L40" s="59"/>
    </row>
    <row r="41" spans="1:12" s="24" customFormat="1" x14ac:dyDescent="0.35">
      <c r="A41" s="62"/>
      <c r="B41" s="24" t="s">
        <v>170</v>
      </c>
      <c r="C41" s="24" t="s">
        <v>17</v>
      </c>
      <c r="D41" s="24">
        <v>5</v>
      </c>
      <c r="E41" s="24">
        <v>350.57169873999999</v>
      </c>
      <c r="F41" s="24">
        <v>28.7081557773976</v>
      </c>
      <c r="G41" s="24">
        <v>12.8386775653829</v>
      </c>
      <c r="H41" s="59"/>
      <c r="I41" s="59"/>
      <c r="J41" s="59"/>
      <c r="K41" s="59"/>
      <c r="L41" s="59"/>
    </row>
    <row r="42" spans="1:12" s="24" customFormat="1" x14ac:dyDescent="0.35">
      <c r="A42" s="62"/>
      <c r="B42" s="24" t="s">
        <v>170</v>
      </c>
      <c r="C42" s="24" t="s">
        <v>18</v>
      </c>
      <c r="D42" s="24">
        <v>5</v>
      </c>
      <c r="E42" s="24">
        <v>323.92191164000002</v>
      </c>
      <c r="F42" s="24">
        <v>20.919547045106601</v>
      </c>
      <c r="G42" s="24">
        <v>9.3555058502726194</v>
      </c>
      <c r="H42" s="59"/>
      <c r="I42" s="59"/>
      <c r="J42" s="59"/>
      <c r="K42" s="59"/>
      <c r="L42" s="59"/>
    </row>
    <row r="43" spans="1:12" x14ac:dyDescent="0.35">
      <c r="A43" s="62"/>
      <c r="B43" s="2" t="s">
        <v>171</v>
      </c>
      <c r="C43" s="2" t="s">
        <v>14</v>
      </c>
      <c r="D43" s="2">
        <v>5</v>
      </c>
      <c r="E43" s="2">
        <v>13.754984864000001</v>
      </c>
      <c r="F43" s="2">
        <v>1.7768938682139701</v>
      </c>
      <c r="G43" s="2">
        <v>0.79465109562579805</v>
      </c>
      <c r="H43" s="58">
        <v>23.100999999999999</v>
      </c>
      <c r="I43" s="58">
        <v>5.7751999999999999</v>
      </c>
      <c r="J43" s="58">
        <v>2.5329999999999999</v>
      </c>
      <c r="K43" s="58">
        <v>7.2410000000000002E-2</v>
      </c>
      <c r="L43" s="58">
        <v>0.33629999999999999</v>
      </c>
    </row>
    <row r="44" spans="1:12" x14ac:dyDescent="0.35">
      <c r="A44" s="62"/>
      <c r="B44" s="2" t="s">
        <v>171</v>
      </c>
      <c r="C44" s="2" t="s">
        <v>15</v>
      </c>
      <c r="D44" s="2">
        <v>5</v>
      </c>
      <c r="E44" s="2">
        <v>15.325709942</v>
      </c>
      <c r="F44" s="2">
        <v>1.7250836143042401</v>
      </c>
      <c r="G44" s="2">
        <v>0.77148084569106301</v>
      </c>
      <c r="H44" s="58"/>
      <c r="I44" s="58"/>
      <c r="J44" s="58"/>
      <c r="K44" s="58"/>
      <c r="L44" s="58"/>
    </row>
    <row r="45" spans="1:12" x14ac:dyDescent="0.35">
      <c r="A45" s="62"/>
      <c r="B45" s="2" t="s">
        <v>171</v>
      </c>
      <c r="C45" s="2" t="s">
        <v>16</v>
      </c>
      <c r="D45" s="2">
        <v>5</v>
      </c>
      <c r="E45" s="2">
        <v>16.381533128000001</v>
      </c>
      <c r="F45" s="2">
        <v>0.95358745371690601</v>
      </c>
      <c r="G45" s="2">
        <v>0.426457273800387</v>
      </c>
      <c r="H45" s="58"/>
      <c r="I45" s="58"/>
      <c r="J45" s="58"/>
      <c r="K45" s="58"/>
      <c r="L45" s="58"/>
    </row>
    <row r="46" spans="1:12" x14ac:dyDescent="0.35">
      <c r="A46" s="62"/>
      <c r="B46" s="2" t="s">
        <v>171</v>
      </c>
      <c r="C46" s="2" t="s">
        <v>17</v>
      </c>
      <c r="D46" s="2">
        <v>5</v>
      </c>
      <c r="E46" s="2">
        <v>15.927496558</v>
      </c>
      <c r="F46" s="2">
        <v>1.6115234496326101</v>
      </c>
      <c r="G46" s="2">
        <v>0.72069519614269495</v>
      </c>
      <c r="H46" s="58"/>
      <c r="I46" s="58"/>
      <c r="J46" s="58"/>
      <c r="K46" s="58"/>
      <c r="L46" s="58"/>
    </row>
    <row r="47" spans="1:12" x14ac:dyDescent="0.35">
      <c r="A47" s="62"/>
      <c r="B47" s="2" t="s">
        <v>171</v>
      </c>
      <c r="C47" s="2" t="s">
        <v>18</v>
      </c>
      <c r="D47" s="2">
        <v>5</v>
      </c>
      <c r="E47" s="2">
        <v>14.426837816000001</v>
      </c>
      <c r="F47" s="2">
        <v>1.3268664429882899</v>
      </c>
      <c r="G47" s="2">
        <v>0.59339271271703498</v>
      </c>
      <c r="H47" s="58"/>
      <c r="I47" s="58"/>
      <c r="J47" s="58"/>
      <c r="K47" s="58"/>
      <c r="L47" s="58"/>
    </row>
    <row r="48" spans="1:12" s="24" customFormat="1" x14ac:dyDescent="0.35">
      <c r="A48" s="62"/>
      <c r="B48" s="24" t="s">
        <v>105</v>
      </c>
      <c r="C48" s="24" t="s">
        <v>14</v>
      </c>
      <c r="D48" s="24">
        <v>5</v>
      </c>
      <c r="E48" s="24">
        <v>4.4731059181999999</v>
      </c>
      <c r="F48" s="24">
        <v>0.56369406937951905</v>
      </c>
      <c r="G48" s="24">
        <v>0.25209165152921698</v>
      </c>
      <c r="H48" s="59">
        <v>2.2599999999999998</v>
      </c>
      <c r="I48" s="59">
        <v>0.56499999999999995</v>
      </c>
      <c r="J48" s="59">
        <v>3.1736</v>
      </c>
      <c r="K48" s="59">
        <v>3.5830000000000001E-2</v>
      </c>
      <c r="L48" s="59">
        <v>0.38829999999999998</v>
      </c>
    </row>
    <row r="49" spans="1:12" s="24" customFormat="1" x14ac:dyDescent="0.35">
      <c r="A49" s="62"/>
      <c r="B49" s="24" t="s">
        <v>105</v>
      </c>
      <c r="C49" s="24" t="s">
        <v>15</v>
      </c>
      <c r="D49" s="24">
        <v>5</v>
      </c>
      <c r="E49" s="24">
        <v>4.8118278062000002</v>
      </c>
      <c r="F49" s="24">
        <v>0.48640220600640199</v>
      </c>
      <c r="G49" s="24">
        <v>0.217525679407234</v>
      </c>
      <c r="H49" s="59"/>
      <c r="I49" s="59"/>
      <c r="J49" s="59"/>
      <c r="K49" s="59"/>
      <c r="L49" s="59"/>
    </row>
    <row r="50" spans="1:12" s="24" customFormat="1" x14ac:dyDescent="0.35">
      <c r="A50" s="62"/>
      <c r="B50" s="24" t="s">
        <v>105</v>
      </c>
      <c r="C50" s="24" t="s">
        <v>16</v>
      </c>
      <c r="D50" s="24">
        <v>5</v>
      </c>
      <c r="E50" s="24">
        <v>5.2177666780000003</v>
      </c>
      <c r="F50" s="24">
        <v>0.26816220208797198</v>
      </c>
      <c r="G50" s="24">
        <v>0.119925782572948</v>
      </c>
      <c r="H50" s="59"/>
      <c r="I50" s="59"/>
      <c r="J50" s="59"/>
      <c r="K50" s="59"/>
      <c r="L50" s="59"/>
    </row>
    <row r="51" spans="1:12" s="24" customFormat="1" x14ac:dyDescent="0.35">
      <c r="A51" s="62"/>
      <c r="B51" s="24" t="s">
        <v>105</v>
      </c>
      <c r="C51" s="24" t="s">
        <v>17</v>
      </c>
      <c r="D51" s="24">
        <v>5</v>
      </c>
      <c r="E51" s="24">
        <v>5.1645501494000001</v>
      </c>
      <c r="F51" s="24">
        <v>0.390394357810527</v>
      </c>
      <c r="G51" s="24">
        <v>0.17458966441934301</v>
      </c>
      <c r="H51" s="59"/>
      <c r="I51" s="59"/>
      <c r="J51" s="59"/>
      <c r="K51" s="59"/>
      <c r="L51" s="59"/>
    </row>
    <row r="52" spans="1:12" s="24" customFormat="1" x14ac:dyDescent="0.35">
      <c r="A52" s="62"/>
      <c r="B52" s="24" t="s">
        <v>105</v>
      </c>
      <c r="C52" s="24" t="s">
        <v>18</v>
      </c>
      <c r="D52" s="24">
        <v>5</v>
      </c>
      <c r="E52" s="24">
        <v>4.5774112664000004</v>
      </c>
      <c r="F52" s="24">
        <v>0.33390763101342802</v>
      </c>
      <c r="G52" s="24">
        <v>0.14932803223038801</v>
      </c>
      <c r="H52" s="59"/>
      <c r="I52" s="59"/>
      <c r="J52" s="59"/>
      <c r="K52" s="59"/>
      <c r="L52" s="59"/>
    </row>
    <row r="53" spans="1:12" x14ac:dyDescent="0.35">
      <c r="A53" s="62"/>
      <c r="B53" s="2" t="s">
        <v>172</v>
      </c>
      <c r="C53" s="2" t="s">
        <v>14</v>
      </c>
      <c r="D53" s="2">
        <v>5</v>
      </c>
      <c r="E53" s="2">
        <v>2.7864490000000002</v>
      </c>
      <c r="F53" s="2">
        <v>0.238437674230605</v>
      </c>
      <c r="G53" s="2">
        <v>0.106632569595316</v>
      </c>
      <c r="H53" s="58">
        <v>15.795</v>
      </c>
      <c r="I53" s="58">
        <v>3.9487999999999999</v>
      </c>
      <c r="J53" s="58">
        <v>60.127000000000002</v>
      </c>
      <c r="K53" s="58" t="s">
        <v>583</v>
      </c>
      <c r="L53" s="58">
        <v>0.92320000000000002</v>
      </c>
    </row>
    <row r="54" spans="1:12" x14ac:dyDescent="0.35">
      <c r="A54" s="62"/>
      <c r="B54" s="2" t="s">
        <v>172</v>
      </c>
      <c r="C54" s="2" t="s">
        <v>15</v>
      </c>
      <c r="D54" s="2">
        <v>5</v>
      </c>
      <c r="E54" s="2">
        <v>3.0325009999999999</v>
      </c>
      <c r="F54" s="2">
        <v>0.31945214930017302</v>
      </c>
      <c r="G54" s="2">
        <v>0.14286334427871999</v>
      </c>
      <c r="H54" s="58"/>
      <c r="I54" s="58"/>
      <c r="J54" s="58"/>
      <c r="K54" s="58"/>
      <c r="L54" s="58"/>
    </row>
    <row r="55" spans="1:12" x14ac:dyDescent="0.35">
      <c r="A55" s="62"/>
      <c r="B55" s="2" t="s">
        <v>172</v>
      </c>
      <c r="C55" s="2" t="s">
        <v>16</v>
      </c>
      <c r="D55" s="2">
        <v>5</v>
      </c>
      <c r="E55" s="2">
        <v>3.2040470000000001</v>
      </c>
      <c r="F55" s="2">
        <v>0.320316823953254</v>
      </c>
      <c r="G55" s="2">
        <v>0.14325003853926199</v>
      </c>
      <c r="H55" s="58"/>
      <c r="I55" s="58"/>
      <c r="J55" s="58"/>
      <c r="K55" s="58"/>
      <c r="L55" s="58"/>
    </row>
    <row r="56" spans="1:12" x14ac:dyDescent="0.35">
      <c r="A56" s="62"/>
      <c r="B56" s="2" t="s">
        <v>172</v>
      </c>
      <c r="C56" s="2" t="s">
        <v>17</v>
      </c>
      <c r="D56" s="2">
        <v>5</v>
      </c>
      <c r="E56" s="2">
        <v>1.14262</v>
      </c>
      <c r="F56" s="2">
        <v>0.203270850037579</v>
      </c>
      <c r="G56" s="2">
        <v>9.0905487705638499E-2</v>
      </c>
      <c r="H56" s="58"/>
      <c r="I56" s="58"/>
      <c r="J56" s="58"/>
      <c r="K56" s="58"/>
      <c r="L56" s="58"/>
    </row>
    <row r="57" spans="1:12" x14ac:dyDescent="0.35">
      <c r="A57" s="62"/>
      <c r="B57" s="2" t="s">
        <v>172</v>
      </c>
      <c r="C57" s="2" t="s">
        <v>18</v>
      </c>
      <c r="D57" s="2">
        <v>5</v>
      </c>
      <c r="E57" s="2">
        <v>3.3014130000000002</v>
      </c>
      <c r="F57" s="2">
        <v>0.159830182013598</v>
      </c>
      <c r="G57" s="2">
        <v>7.1478230367714002E-2</v>
      </c>
      <c r="H57" s="58"/>
      <c r="I57" s="58"/>
      <c r="J57" s="58"/>
      <c r="K57" s="58"/>
      <c r="L57" s="58"/>
    </row>
    <row r="58" spans="1:12" s="24" customFormat="1" x14ac:dyDescent="0.35">
      <c r="A58" s="62"/>
      <c r="B58" s="24" t="s">
        <v>173</v>
      </c>
      <c r="C58" s="24" t="s">
        <v>14</v>
      </c>
      <c r="D58" s="24">
        <v>5</v>
      </c>
      <c r="E58" s="24">
        <v>1.055142</v>
      </c>
      <c r="F58" s="24">
        <v>0.26447242497092199</v>
      </c>
      <c r="G58" s="24">
        <v>0.118275664081839</v>
      </c>
      <c r="H58" s="59">
        <v>6.5991</v>
      </c>
      <c r="I58" s="59">
        <v>1.64978</v>
      </c>
      <c r="J58" s="59">
        <v>10.545999999999999</v>
      </c>
      <c r="K58" s="59" t="s">
        <v>584</v>
      </c>
      <c r="L58" s="59">
        <v>6.5991</v>
      </c>
    </row>
    <row r="59" spans="1:12" s="24" customFormat="1" x14ac:dyDescent="0.35">
      <c r="A59" s="62"/>
      <c r="B59" s="24" t="s">
        <v>173</v>
      </c>
      <c r="C59" s="24" t="s">
        <v>15</v>
      </c>
      <c r="D59" s="24">
        <v>5</v>
      </c>
      <c r="E59" s="24">
        <v>1.4346620000000001</v>
      </c>
      <c r="F59" s="24">
        <v>0.53522094967405798</v>
      </c>
      <c r="G59" s="24">
        <v>0.23935808529063701</v>
      </c>
      <c r="H59" s="59"/>
      <c r="I59" s="59"/>
      <c r="J59" s="59"/>
      <c r="K59" s="59"/>
      <c r="L59" s="59"/>
    </row>
    <row r="60" spans="1:12" s="24" customFormat="1" x14ac:dyDescent="0.35">
      <c r="A60" s="62"/>
      <c r="B60" s="24" t="s">
        <v>173</v>
      </c>
      <c r="C60" s="24" t="s">
        <v>16</v>
      </c>
      <c r="D60" s="24">
        <v>5</v>
      </c>
      <c r="E60" s="24">
        <v>1.5513140000000001</v>
      </c>
      <c r="F60" s="24">
        <v>0.27043095094681702</v>
      </c>
      <c r="G60" s="24">
        <v>0.12094039790739899</v>
      </c>
      <c r="H60" s="59"/>
      <c r="I60" s="59"/>
      <c r="J60" s="59"/>
      <c r="K60" s="59"/>
      <c r="L60" s="59"/>
    </row>
    <row r="61" spans="1:12" s="24" customFormat="1" x14ac:dyDescent="0.35">
      <c r="A61" s="62"/>
      <c r="B61" s="24" t="s">
        <v>173</v>
      </c>
      <c r="C61" s="24" t="s">
        <v>17</v>
      </c>
      <c r="D61" s="24">
        <v>5</v>
      </c>
      <c r="E61" s="24">
        <v>2.602344</v>
      </c>
      <c r="F61" s="24">
        <v>0.43273725952360498</v>
      </c>
      <c r="G61" s="24">
        <v>0.19352598573835</v>
      </c>
      <c r="H61" s="59"/>
      <c r="I61" s="59"/>
      <c r="J61" s="59"/>
      <c r="K61" s="59"/>
      <c r="L61" s="59"/>
    </row>
    <row r="62" spans="1:12" s="24" customFormat="1" x14ac:dyDescent="0.35">
      <c r="A62" s="62"/>
      <c r="B62" s="24" t="s">
        <v>173</v>
      </c>
      <c r="C62" s="24" t="s">
        <v>18</v>
      </c>
      <c r="D62" s="24">
        <v>5</v>
      </c>
      <c r="E62" s="24">
        <v>1.7257579999999999</v>
      </c>
      <c r="F62" s="24">
        <v>0.40669118624577999</v>
      </c>
      <c r="G62" s="24">
        <v>0.181877827659118</v>
      </c>
      <c r="H62" s="59"/>
      <c r="I62" s="59"/>
      <c r="J62" s="59"/>
      <c r="K62" s="59"/>
      <c r="L62" s="59"/>
    </row>
    <row r="63" spans="1:12" x14ac:dyDescent="0.35">
      <c r="A63" s="62"/>
      <c r="B63" s="2" t="s">
        <v>1000</v>
      </c>
      <c r="C63" s="2" t="s">
        <v>14</v>
      </c>
      <c r="D63" s="2">
        <v>5</v>
      </c>
      <c r="E63" s="2">
        <v>2.7615598769999998</v>
      </c>
      <c r="F63" s="2">
        <v>0.66920551933122796</v>
      </c>
      <c r="G63" s="2">
        <v>0.29927780642853502</v>
      </c>
      <c r="H63" s="58">
        <v>15.8453</v>
      </c>
      <c r="I63" s="58">
        <v>3.9613</v>
      </c>
      <c r="J63" s="58">
        <v>9.0084999999999997</v>
      </c>
      <c r="K63" s="58" t="s">
        <v>585</v>
      </c>
      <c r="L63" s="58">
        <v>0.6431</v>
      </c>
    </row>
    <row r="64" spans="1:12" x14ac:dyDescent="0.35">
      <c r="A64" s="62"/>
      <c r="B64" s="2" t="s">
        <v>1000</v>
      </c>
      <c r="C64" s="2" t="s">
        <v>15</v>
      </c>
      <c r="D64" s="2">
        <v>5</v>
      </c>
      <c r="E64" s="2">
        <v>2.4412261117999998</v>
      </c>
      <c r="F64" s="2">
        <v>1.1106639755024801</v>
      </c>
      <c r="G64" s="2">
        <v>0.496704029876743</v>
      </c>
      <c r="H64" s="58"/>
      <c r="I64" s="58"/>
      <c r="J64" s="58"/>
      <c r="K64" s="58"/>
      <c r="L64" s="58"/>
    </row>
    <row r="65" spans="1:13" x14ac:dyDescent="0.35">
      <c r="A65" s="62"/>
      <c r="B65" s="2" t="s">
        <v>1000</v>
      </c>
      <c r="C65" s="2" t="s">
        <v>16</v>
      </c>
      <c r="D65" s="2">
        <v>5</v>
      </c>
      <c r="E65" s="2">
        <v>2.1153196973999999</v>
      </c>
      <c r="F65" s="2">
        <v>0.433397048598199</v>
      </c>
      <c r="G65" s="2">
        <v>0.193821052382671</v>
      </c>
      <c r="H65" s="58"/>
      <c r="I65" s="58"/>
      <c r="J65" s="58"/>
      <c r="K65" s="58"/>
      <c r="L65" s="58"/>
    </row>
    <row r="66" spans="1:13" x14ac:dyDescent="0.35">
      <c r="A66" s="62"/>
      <c r="B66" s="2" t="s">
        <v>1000</v>
      </c>
      <c r="C66" s="2" t="s">
        <v>17</v>
      </c>
      <c r="D66" s="2">
        <v>5</v>
      </c>
      <c r="E66" s="2">
        <v>0.45416646059999999</v>
      </c>
      <c r="F66" s="2">
        <v>0.13569977670008801</v>
      </c>
      <c r="G66" s="2">
        <v>6.0686785046587803E-2</v>
      </c>
      <c r="H66" s="58"/>
      <c r="I66" s="58"/>
      <c r="J66" s="58"/>
      <c r="K66" s="58"/>
      <c r="L66" s="58"/>
    </row>
    <row r="67" spans="1:13" x14ac:dyDescent="0.35">
      <c r="A67" s="62"/>
      <c r="B67" s="2" t="s">
        <v>1000</v>
      </c>
      <c r="C67" s="2" t="s">
        <v>18</v>
      </c>
      <c r="D67" s="2">
        <v>5</v>
      </c>
      <c r="E67" s="2">
        <v>2.0178580627999998</v>
      </c>
      <c r="F67" s="2">
        <v>0.55767384073037596</v>
      </c>
      <c r="G67" s="2">
        <v>0.24939932342930199</v>
      </c>
      <c r="H67" s="58"/>
      <c r="I67" s="58"/>
      <c r="J67" s="58"/>
      <c r="K67" s="58"/>
      <c r="L67" s="58"/>
    </row>
    <row r="68" spans="1:13" s="24" customFormat="1" x14ac:dyDescent="0.35">
      <c r="A68" s="62"/>
      <c r="B68" s="24" t="s">
        <v>1001</v>
      </c>
      <c r="C68" s="24" t="s">
        <v>14</v>
      </c>
      <c r="D68" s="24">
        <v>5</v>
      </c>
      <c r="E68" s="24">
        <v>3.8415910000000002</v>
      </c>
      <c r="F68" s="24">
        <v>0.431317231388337</v>
      </c>
      <c r="G68" s="24">
        <v>0.19289092985026501</v>
      </c>
      <c r="H68" s="59">
        <v>6.2983000000000002</v>
      </c>
      <c r="I68" s="59">
        <v>1.5745800000000001</v>
      </c>
      <c r="J68" s="59">
        <v>9.9422999999999995</v>
      </c>
      <c r="K68" s="59" t="s">
        <v>586</v>
      </c>
      <c r="L68" s="59">
        <v>0.66539999999999999</v>
      </c>
    </row>
    <row r="69" spans="1:13" s="24" customFormat="1" x14ac:dyDescent="0.35">
      <c r="A69" s="62"/>
      <c r="B69" s="24" t="s">
        <v>1001</v>
      </c>
      <c r="C69" s="24" t="s">
        <v>15</v>
      </c>
      <c r="D69" s="24">
        <v>5</v>
      </c>
      <c r="E69" s="24">
        <v>4.4671630000000002</v>
      </c>
      <c r="F69" s="24">
        <v>0.43118623010539198</v>
      </c>
      <c r="G69" s="24">
        <v>0.192832344295505</v>
      </c>
      <c r="H69" s="59"/>
      <c r="I69" s="59"/>
      <c r="J69" s="59"/>
      <c r="K69" s="59"/>
      <c r="L69" s="59"/>
    </row>
    <row r="70" spans="1:13" s="24" customFormat="1" x14ac:dyDescent="0.35">
      <c r="A70" s="62"/>
      <c r="B70" s="24" t="s">
        <v>1001</v>
      </c>
      <c r="C70" s="24" t="s">
        <v>16</v>
      </c>
      <c r="D70" s="24">
        <v>5</v>
      </c>
      <c r="E70" s="24">
        <v>4.7553609999999997</v>
      </c>
      <c r="F70" s="24">
        <v>0.431737014937913</v>
      </c>
      <c r="G70" s="24">
        <v>0.19307866276080299</v>
      </c>
      <c r="H70" s="59"/>
      <c r="I70" s="59"/>
      <c r="J70" s="59"/>
      <c r="K70" s="59"/>
      <c r="L70" s="59"/>
    </row>
    <row r="71" spans="1:13" s="24" customFormat="1" x14ac:dyDescent="0.35">
      <c r="A71" s="62"/>
      <c r="B71" s="24" t="s">
        <v>1001</v>
      </c>
      <c r="C71" s="24" t="s">
        <v>17</v>
      </c>
      <c r="D71" s="24">
        <v>5</v>
      </c>
      <c r="E71" s="24">
        <v>3.744964</v>
      </c>
      <c r="F71" s="24">
        <v>0.37361133769600702</v>
      </c>
      <c r="G71" s="24">
        <v>0.16708406965058001</v>
      </c>
      <c r="H71" s="59"/>
      <c r="I71" s="59"/>
      <c r="J71" s="59"/>
      <c r="K71" s="59"/>
      <c r="L71" s="59"/>
    </row>
    <row r="72" spans="1:13" s="24" customFormat="1" x14ac:dyDescent="0.35">
      <c r="A72" s="62"/>
      <c r="B72" s="24" t="s">
        <v>1001</v>
      </c>
      <c r="C72" s="24" t="s">
        <v>18</v>
      </c>
      <c r="D72" s="24">
        <v>5</v>
      </c>
      <c r="E72" s="24">
        <v>5.0271710000000001</v>
      </c>
      <c r="F72" s="24">
        <v>0.30646655550402202</v>
      </c>
      <c r="G72" s="24">
        <v>0.13705601018744101</v>
      </c>
      <c r="H72" s="59"/>
      <c r="I72" s="59"/>
      <c r="J72" s="59"/>
      <c r="K72" s="59"/>
      <c r="L72" s="59"/>
    </row>
    <row r="73" spans="1:13" x14ac:dyDescent="0.35">
      <c r="A73" s="62"/>
      <c r="B73" s="2" t="s">
        <v>106</v>
      </c>
      <c r="C73" s="2" t="s">
        <v>14</v>
      </c>
      <c r="D73" s="2">
        <v>5</v>
      </c>
      <c r="E73" s="2">
        <v>27.819199999999999</v>
      </c>
      <c r="F73" s="2">
        <v>2.6988570173316</v>
      </c>
      <c r="G73" s="2">
        <v>1.2069655504611601</v>
      </c>
      <c r="H73" s="58">
        <v>0.97609000000000001</v>
      </c>
      <c r="I73" s="58">
        <v>0.24402199999999999</v>
      </c>
      <c r="J73" s="58">
        <v>9.9179999999999993</v>
      </c>
      <c r="K73" s="58" t="s">
        <v>590</v>
      </c>
      <c r="L73" s="58" t="s">
        <v>591</v>
      </c>
      <c r="M73" s="2" t="s">
        <v>580</v>
      </c>
    </row>
    <row r="74" spans="1:13" x14ac:dyDescent="0.35">
      <c r="A74" s="62"/>
      <c r="B74" s="2" t="s">
        <v>106</v>
      </c>
      <c r="C74" s="2" t="s">
        <v>15</v>
      </c>
      <c r="D74" s="2">
        <v>5</v>
      </c>
      <c r="E74" s="2">
        <v>22.936399999999999</v>
      </c>
      <c r="F74" s="2">
        <v>3.7810767381792201</v>
      </c>
      <c r="G74" s="2">
        <v>1.69094892294238</v>
      </c>
      <c r="H74" s="58"/>
      <c r="I74" s="58"/>
      <c r="J74" s="58"/>
      <c r="K74" s="58"/>
      <c r="L74" s="58"/>
      <c r="M74" s="2" t="s">
        <v>587</v>
      </c>
    </row>
    <row r="75" spans="1:13" x14ac:dyDescent="0.35">
      <c r="A75" s="62"/>
      <c r="B75" s="2" t="s">
        <v>106</v>
      </c>
      <c r="C75" s="2" t="s">
        <v>16</v>
      </c>
      <c r="D75" s="2">
        <v>5</v>
      </c>
      <c r="E75" s="2">
        <v>22.846599999999999</v>
      </c>
      <c r="F75" s="2">
        <v>3.3454639140185001</v>
      </c>
      <c r="G75" s="2">
        <v>1.49613694560358</v>
      </c>
      <c r="H75" s="58"/>
      <c r="I75" s="58"/>
      <c r="J75" s="58"/>
      <c r="K75" s="58"/>
      <c r="L75" s="58"/>
    </row>
    <row r="76" spans="1:13" x14ac:dyDescent="0.35">
      <c r="A76" s="62"/>
      <c r="B76" s="2" t="s">
        <v>106</v>
      </c>
      <c r="C76" s="2" t="s">
        <v>17</v>
      </c>
      <c r="D76" s="2">
        <v>5</v>
      </c>
      <c r="E76" s="2">
        <v>18.034800000000001</v>
      </c>
      <c r="F76" s="2">
        <v>2.32379736638116</v>
      </c>
      <c r="G76" s="2">
        <v>1.0392337754326499</v>
      </c>
      <c r="H76" s="58"/>
      <c r="I76" s="58"/>
      <c r="J76" s="58"/>
      <c r="K76" s="58"/>
      <c r="L76" s="58"/>
    </row>
    <row r="77" spans="1:13" x14ac:dyDescent="0.35">
      <c r="A77" s="62"/>
      <c r="B77" s="2" t="s">
        <v>106</v>
      </c>
      <c r="C77" s="2" t="s">
        <v>18</v>
      </c>
      <c r="D77" s="2">
        <v>5</v>
      </c>
      <c r="E77" s="2">
        <v>16.111599999999999</v>
      </c>
      <c r="F77" s="2">
        <v>3.6642688629520599</v>
      </c>
      <c r="G77" s="2">
        <v>1.63871085307933</v>
      </c>
      <c r="H77" s="58"/>
      <c r="I77" s="58"/>
      <c r="J77" s="58"/>
      <c r="K77" s="58"/>
      <c r="L77" s="58"/>
    </row>
    <row r="78" spans="1:13" s="24" customFormat="1" x14ac:dyDescent="0.35">
      <c r="A78" s="62"/>
      <c r="B78" s="24" t="s">
        <v>107</v>
      </c>
      <c r="C78" s="24" t="s">
        <v>14</v>
      </c>
      <c r="D78" s="24">
        <v>5</v>
      </c>
      <c r="E78" s="24">
        <v>28.290600000000001</v>
      </c>
      <c r="F78" s="24">
        <v>2.9603543368995502</v>
      </c>
      <c r="G78" s="24">
        <v>1.3239107069587399</v>
      </c>
      <c r="H78" s="59">
        <v>226.77</v>
      </c>
      <c r="I78" s="59">
        <v>56.692999999999998</v>
      </c>
      <c r="J78" s="59">
        <v>8.0570000000000004</v>
      </c>
      <c r="K78" s="59" t="s">
        <v>592</v>
      </c>
      <c r="L78" s="59">
        <v>0.61709999999999998</v>
      </c>
    </row>
    <row r="79" spans="1:13" s="24" customFormat="1" x14ac:dyDescent="0.35">
      <c r="A79" s="62"/>
      <c r="B79" s="24" t="s">
        <v>107</v>
      </c>
      <c r="C79" s="24" t="s">
        <v>15</v>
      </c>
      <c r="D79" s="24">
        <v>5</v>
      </c>
      <c r="E79" s="24">
        <v>32.793999999999997</v>
      </c>
      <c r="F79" s="24">
        <v>2.2958179370324601</v>
      </c>
      <c r="G79" s="24">
        <v>1.02672099423358</v>
      </c>
      <c r="H79" s="59"/>
      <c r="I79" s="59"/>
      <c r="J79" s="59"/>
      <c r="K79" s="59"/>
      <c r="L79" s="59"/>
    </row>
    <row r="80" spans="1:13" s="24" customFormat="1" x14ac:dyDescent="0.35">
      <c r="A80" s="62"/>
      <c r="B80" s="24" t="s">
        <v>107</v>
      </c>
      <c r="C80" s="24" t="s">
        <v>16</v>
      </c>
      <c r="D80" s="24">
        <v>5</v>
      </c>
      <c r="E80" s="24">
        <v>31.819600000000001</v>
      </c>
      <c r="F80" s="24">
        <v>2.1966684547286599</v>
      </c>
      <c r="G80" s="24">
        <v>0.98237999776053997</v>
      </c>
      <c r="H80" s="59"/>
      <c r="I80" s="59"/>
      <c r="J80" s="59"/>
      <c r="K80" s="59"/>
      <c r="L80" s="59"/>
    </row>
    <row r="81" spans="1:12" s="24" customFormat="1" x14ac:dyDescent="0.35">
      <c r="A81" s="62"/>
      <c r="B81" s="24" t="s">
        <v>107</v>
      </c>
      <c r="C81" s="24" t="s">
        <v>17</v>
      </c>
      <c r="D81" s="24">
        <v>5</v>
      </c>
      <c r="E81" s="24">
        <v>37.697400000000002</v>
      </c>
      <c r="F81" s="24">
        <v>3.34975720015645</v>
      </c>
      <c r="G81" s="24">
        <v>1.4980569615338399</v>
      </c>
      <c r="H81" s="59"/>
      <c r="I81" s="59"/>
      <c r="J81" s="59"/>
      <c r="K81" s="59"/>
      <c r="L81" s="59"/>
    </row>
    <row r="82" spans="1:12" s="24" customFormat="1" x14ac:dyDescent="0.35">
      <c r="A82" s="62"/>
      <c r="B82" s="24" t="s">
        <v>107</v>
      </c>
      <c r="C82" s="24" t="s">
        <v>18</v>
      </c>
      <c r="D82" s="24">
        <v>5</v>
      </c>
      <c r="E82" s="24">
        <v>32.198399999999999</v>
      </c>
      <c r="F82" s="24">
        <v>2.2587364388082101</v>
      </c>
      <c r="G82" s="24">
        <v>1.01013764408619</v>
      </c>
      <c r="H82" s="59"/>
      <c r="I82" s="59"/>
      <c r="J82" s="59"/>
      <c r="K82" s="59"/>
      <c r="L82" s="59"/>
    </row>
    <row r="83" spans="1:12" x14ac:dyDescent="0.35">
      <c r="A83" s="62"/>
      <c r="B83" s="2" t="s">
        <v>110</v>
      </c>
      <c r="C83" s="2" t="s">
        <v>14</v>
      </c>
      <c r="D83" s="2">
        <v>5</v>
      </c>
      <c r="E83" s="2">
        <v>1712</v>
      </c>
      <c r="F83" s="2">
        <v>306.13722413323097</v>
      </c>
      <c r="G83" s="2">
        <v>136.90872872099899</v>
      </c>
      <c r="H83" s="58">
        <v>15129376</v>
      </c>
      <c r="I83" s="58">
        <v>3782344</v>
      </c>
      <c r="J83" s="58">
        <v>17.361999999999998</v>
      </c>
      <c r="K83" s="58" t="s">
        <v>593</v>
      </c>
      <c r="L83" s="58">
        <v>0.77639999999999998</v>
      </c>
    </row>
    <row r="84" spans="1:12" x14ac:dyDescent="0.35">
      <c r="A84" s="62"/>
      <c r="B84" s="2" t="s">
        <v>110</v>
      </c>
      <c r="C84" s="2" t="s">
        <v>15</v>
      </c>
      <c r="D84" s="2">
        <v>5</v>
      </c>
      <c r="E84" s="2">
        <v>3164</v>
      </c>
      <c r="F84" s="2">
        <v>490.59147974664199</v>
      </c>
      <c r="G84" s="2">
        <v>219.39917957914099</v>
      </c>
      <c r="H84" s="58"/>
      <c r="I84" s="58"/>
      <c r="J84" s="58"/>
      <c r="K84" s="58"/>
      <c r="L84" s="58"/>
    </row>
    <row r="85" spans="1:12" x14ac:dyDescent="0.35">
      <c r="A85" s="62"/>
      <c r="B85" s="2" t="s">
        <v>110</v>
      </c>
      <c r="C85" s="2" t="s">
        <v>16</v>
      </c>
      <c r="D85" s="2">
        <v>5</v>
      </c>
      <c r="E85" s="2">
        <v>3116</v>
      </c>
      <c r="F85" s="2">
        <v>529.41477123329298</v>
      </c>
      <c r="G85" s="2">
        <v>236.761483354029</v>
      </c>
      <c r="H85" s="58"/>
      <c r="I85" s="58"/>
      <c r="J85" s="58"/>
      <c r="K85" s="58"/>
      <c r="L85" s="58"/>
    </row>
    <row r="86" spans="1:12" x14ac:dyDescent="0.35">
      <c r="A86" s="62"/>
      <c r="B86" s="2" t="s">
        <v>110</v>
      </c>
      <c r="C86" s="2" t="s">
        <v>17</v>
      </c>
      <c r="D86" s="2">
        <v>5</v>
      </c>
      <c r="E86" s="2">
        <v>3960</v>
      </c>
      <c r="F86" s="2">
        <v>386.781592116274</v>
      </c>
      <c r="G86" s="2">
        <v>172.973986483517</v>
      </c>
      <c r="H86" s="58"/>
      <c r="I86" s="58"/>
      <c r="J86" s="58"/>
      <c r="K86" s="58"/>
      <c r="L86" s="58"/>
    </row>
    <row r="87" spans="1:12" x14ac:dyDescent="0.35">
      <c r="A87" s="62"/>
      <c r="B87" s="2" t="s">
        <v>110</v>
      </c>
      <c r="C87" s="2" t="s">
        <v>18</v>
      </c>
      <c r="D87" s="2">
        <v>5</v>
      </c>
      <c r="E87" s="2">
        <v>3700</v>
      </c>
      <c r="F87" s="2">
        <v>570.08771254956901</v>
      </c>
      <c r="G87" s="2">
        <v>254.95097567963899</v>
      </c>
      <c r="H87" s="58"/>
      <c r="I87" s="58"/>
      <c r="J87" s="58"/>
      <c r="K87" s="58"/>
      <c r="L87" s="58"/>
    </row>
    <row r="88" spans="1:12" s="24" customFormat="1" x14ac:dyDescent="0.35">
      <c r="A88" s="62"/>
      <c r="B88" s="24" t="s">
        <v>109</v>
      </c>
      <c r="C88" s="24" t="s">
        <v>14</v>
      </c>
      <c r="D88" s="24">
        <v>5</v>
      </c>
      <c r="E88" s="24">
        <v>112.133087926</v>
      </c>
      <c r="F88" s="24">
        <v>19.487046552574402</v>
      </c>
      <c r="G88" s="24">
        <v>8.7148721544518608</v>
      </c>
      <c r="H88" s="59">
        <v>78236</v>
      </c>
      <c r="I88" s="59">
        <v>19558.900000000001</v>
      </c>
      <c r="J88" s="59">
        <v>16.300999999999998</v>
      </c>
      <c r="K88" s="59" t="s">
        <v>594</v>
      </c>
      <c r="L88" s="59">
        <v>0.76529999999999998</v>
      </c>
    </row>
    <row r="89" spans="1:12" s="24" customFormat="1" x14ac:dyDescent="0.35">
      <c r="A89" s="62"/>
      <c r="B89" s="24" t="s">
        <v>109</v>
      </c>
      <c r="C89" s="24" t="s">
        <v>15</v>
      </c>
      <c r="D89" s="24">
        <v>5</v>
      </c>
      <c r="E89" s="24">
        <v>116.73265050000001</v>
      </c>
      <c r="F89" s="24">
        <v>18.975100917975102</v>
      </c>
      <c r="G89" s="24">
        <v>8.4859231065021792</v>
      </c>
      <c r="H89" s="59"/>
      <c r="I89" s="59"/>
      <c r="J89" s="59"/>
      <c r="K89" s="59"/>
      <c r="L89" s="59"/>
    </row>
    <row r="90" spans="1:12" s="24" customFormat="1" x14ac:dyDescent="0.35">
      <c r="A90" s="62"/>
      <c r="B90" s="24" t="s">
        <v>109</v>
      </c>
      <c r="C90" s="24" t="s">
        <v>16</v>
      </c>
      <c r="D90" s="24">
        <v>5</v>
      </c>
      <c r="E90" s="24">
        <v>190.52085134000001</v>
      </c>
      <c r="F90" s="24">
        <v>41.378075323881802</v>
      </c>
      <c r="G90" s="24">
        <v>18.504837840461299</v>
      </c>
      <c r="H90" s="59"/>
      <c r="I90" s="59"/>
      <c r="J90" s="59"/>
      <c r="K90" s="59"/>
      <c r="L90" s="59"/>
    </row>
    <row r="91" spans="1:12" s="24" customFormat="1" x14ac:dyDescent="0.35">
      <c r="A91" s="62"/>
      <c r="B91" s="24" t="s">
        <v>109</v>
      </c>
      <c r="C91" s="24" t="s">
        <v>17</v>
      </c>
      <c r="D91" s="24">
        <v>5</v>
      </c>
      <c r="E91" s="24">
        <v>264.43582758000002</v>
      </c>
      <c r="F91" s="24">
        <v>39.602681172761599</v>
      </c>
      <c r="G91" s="24">
        <v>17.710857438709201</v>
      </c>
      <c r="H91" s="59"/>
      <c r="I91" s="59"/>
      <c r="J91" s="59"/>
      <c r="K91" s="59"/>
      <c r="L91" s="59"/>
    </row>
    <row r="92" spans="1:12" s="24" customFormat="1" x14ac:dyDescent="0.35">
      <c r="A92" s="62"/>
      <c r="B92" s="24" t="s">
        <v>109</v>
      </c>
      <c r="C92" s="24" t="s">
        <v>18</v>
      </c>
      <c r="D92" s="24">
        <v>5</v>
      </c>
      <c r="E92" s="24">
        <v>183.48248464</v>
      </c>
      <c r="F92" s="24">
        <v>44.486451763287</v>
      </c>
      <c r="G92" s="24">
        <v>19.894946044095001</v>
      </c>
      <c r="H92" s="59"/>
      <c r="I92" s="59"/>
      <c r="J92" s="59"/>
      <c r="K92" s="59"/>
      <c r="L92" s="59"/>
    </row>
    <row r="93" spans="1:12" x14ac:dyDescent="0.35">
      <c r="A93" s="62"/>
      <c r="B93" s="2" t="s">
        <v>108</v>
      </c>
      <c r="C93" s="2" t="s">
        <v>14</v>
      </c>
      <c r="D93" s="2">
        <v>5</v>
      </c>
      <c r="E93" s="2">
        <v>10.7811</v>
      </c>
      <c r="F93" s="2">
        <v>2.2125996474735299</v>
      </c>
      <c r="G93" s="2">
        <v>0.98950464374857805</v>
      </c>
      <c r="H93" s="58">
        <v>246.78</v>
      </c>
      <c r="I93" s="58">
        <v>61.695</v>
      </c>
      <c r="J93" s="58">
        <v>11.134</v>
      </c>
      <c r="K93" s="58" t="s">
        <v>595</v>
      </c>
      <c r="L93" s="58">
        <v>0.69010000000000005</v>
      </c>
    </row>
    <row r="94" spans="1:12" x14ac:dyDescent="0.35">
      <c r="A94" s="62"/>
      <c r="B94" s="2" t="s">
        <v>108</v>
      </c>
      <c r="C94" s="2" t="s">
        <v>15</v>
      </c>
      <c r="D94" s="2">
        <v>5</v>
      </c>
      <c r="E94" s="2">
        <v>11.0251</v>
      </c>
      <c r="F94" s="2">
        <v>2.4977040857555601</v>
      </c>
      <c r="G94" s="2">
        <v>1.1170072246856799</v>
      </c>
      <c r="H94" s="58"/>
      <c r="I94" s="58"/>
      <c r="J94" s="58"/>
      <c r="K94" s="58"/>
      <c r="L94" s="58"/>
    </row>
    <row r="95" spans="1:12" x14ac:dyDescent="0.35">
      <c r="A95" s="62"/>
      <c r="B95" s="2" t="s">
        <v>108</v>
      </c>
      <c r="C95" s="2" t="s">
        <v>16</v>
      </c>
      <c r="D95" s="2">
        <v>5</v>
      </c>
      <c r="E95" s="2">
        <v>15.192299999999999</v>
      </c>
      <c r="F95" s="2">
        <v>2.57869724861217</v>
      </c>
      <c r="G95" s="2">
        <v>1.1532284682577001</v>
      </c>
      <c r="H95" s="58"/>
      <c r="I95" s="58"/>
      <c r="J95" s="58"/>
      <c r="K95" s="58"/>
      <c r="L95" s="58"/>
    </row>
    <row r="96" spans="1:12" x14ac:dyDescent="0.35">
      <c r="A96" s="62"/>
      <c r="B96" s="2" t="s">
        <v>108</v>
      </c>
      <c r="C96" s="2" t="s">
        <v>17</v>
      </c>
      <c r="D96" s="2">
        <v>5</v>
      </c>
      <c r="E96" s="2">
        <v>19.075900000000001</v>
      </c>
      <c r="F96" s="2">
        <v>1.32548191236244</v>
      </c>
      <c r="G96" s="2">
        <v>0.59277353179776904</v>
      </c>
      <c r="H96" s="58"/>
      <c r="I96" s="58"/>
      <c r="J96" s="58"/>
      <c r="K96" s="58"/>
      <c r="L96" s="58"/>
    </row>
    <row r="97" spans="1:12" x14ac:dyDescent="0.35">
      <c r="A97" s="62"/>
      <c r="B97" s="2" t="s">
        <v>108</v>
      </c>
      <c r="C97" s="2" t="s">
        <v>18</v>
      </c>
      <c r="D97" s="2">
        <v>5</v>
      </c>
      <c r="E97" s="2">
        <v>12.0951</v>
      </c>
      <c r="F97" s="2">
        <v>2.8573019966394901</v>
      </c>
      <c r="G97" s="2">
        <v>1.27782429934635</v>
      </c>
      <c r="H97" s="58"/>
      <c r="I97" s="58"/>
      <c r="J97" s="58"/>
      <c r="K97" s="58"/>
      <c r="L97" s="58"/>
    </row>
    <row r="98" spans="1:12" s="24" customFormat="1" x14ac:dyDescent="0.35">
      <c r="A98" s="63" t="s">
        <v>608</v>
      </c>
      <c r="B98" s="24" t="s">
        <v>174</v>
      </c>
      <c r="C98" s="24" t="s">
        <v>14</v>
      </c>
      <c r="D98" s="24">
        <v>5</v>
      </c>
      <c r="E98" s="24">
        <v>4</v>
      </c>
      <c r="F98" s="24">
        <v>0.70710678118654802</v>
      </c>
      <c r="G98" s="24">
        <v>0.316227766016838</v>
      </c>
      <c r="H98" s="59">
        <v>61.76</v>
      </c>
      <c r="I98" s="59">
        <v>15.44</v>
      </c>
      <c r="J98" s="59">
        <v>7.9588000000000001</v>
      </c>
      <c r="K98" s="59">
        <v>5.2220000000000001E-4</v>
      </c>
      <c r="L98" s="59">
        <v>0.61419999999999997</v>
      </c>
    </row>
    <row r="99" spans="1:12" s="24" customFormat="1" x14ac:dyDescent="0.35">
      <c r="A99" s="64"/>
      <c r="B99" s="24" t="s">
        <v>174</v>
      </c>
      <c r="C99" s="24" t="s">
        <v>15</v>
      </c>
      <c r="D99" s="24">
        <v>5</v>
      </c>
      <c r="E99" s="24">
        <v>8.4</v>
      </c>
      <c r="F99" s="24">
        <v>1.8165902124584901</v>
      </c>
      <c r="G99" s="24">
        <v>0.81240384046359604</v>
      </c>
      <c r="H99" s="59"/>
      <c r="I99" s="59"/>
      <c r="J99" s="59"/>
      <c r="K99" s="59"/>
      <c r="L99" s="59"/>
    </row>
    <row r="100" spans="1:12" s="24" customFormat="1" x14ac:dyDescent="0.35">
      <c r="A100" s="64"/>
      <c r="B100" s="24" t="s">
        <v>174</v>
      </c>
      <c r="C100" s="24" t="s">
        <v>16</v>
      </c>
      <c r="D100" s="24">
        <v>5</v>
      </c>
      <c r="E100" s="24">
        <v>7.6</v>
      </c>
      <c r="F100" s="24">
        <v>1.14017542509914</v>
      </c>
      <c r="G100" s="24">
        <v>0.50990195135927896</v>
      </c>
      <c r="H100" s="59"/>
      <c r="I100" s="59"/>
      <c r="J100" s="59"/>
      <c r="K100" s="59"/>
      <c r="L100" s="59"/>
    </row>
    <row r="101" spans="1:12" s="24" customFormat="1" x14ac:dyDescent="0.35">
      <c r="A101" s="64"/>
      <c r="B101" s="24" t="s">
        <v>174</v>
      </c>
      <c r="C101" s="24" t="s">
        <v>17</v>
      </c>
      <c r="D101" s="24">
        <v>5</v>
      </c>
      <c r="E101" s="24">
        <v>5.6</v>
      </c>
      <c r="F101" s="24">
        <v>1.51657508881031</v>
      </c>
      <c r="G101" s="24">
        <v>0.67823299831252704</v>
      </c>
      <c r="H101" s="59"/>
      <c r="I101" s="59"/>
      <c r="J101" s="59"/>
      <c r="K101" s="59"/>
      <c r="L101" s="59"/>
    </row>
    <row r="102" spans="1:12" s="24" customFormat="1" x14ac:dyDescent="0.35">
      <c r="A102" s="64"/>
      <c r="B102" s="24" t="s">
        <v>174</v>
      </c>
      <c r="C102" s="24" t="s">
        <v>18</v>
      </c>
      <c r="D102" s="24">
        <v>5</v>
      </c>
      <c r="E102" s="24">
        <v>5.6</v>
      </c>
      <c r="F102" s="24">
        <v>1.51657508881031</v>
      </c>
      <c r="G102" s="24">
        <v>0.67823299831252704</v>
      </c>
      <c r="H102" s="59"/>
      <c r="I102" s="59"/>
      <c r="J102" s="59"/>
      <c r="K102" s="59"/>
      <c r="L102" s="59"/>
    </row>
    <row r="103" spans="1:12" x14ac:dyDescent="0.35">
      <c r="A103" s="64"/>
      <c r="B103" s="2" t="s">
        <v>58</v>
      </c>
      <c r="C103" s="2" t="s">
        <v>14</v>
      </c>
      <c r="D103" s="2">
        <v>5</v>
      </c>
      <c r="E103" s="2">
        <v>1.1108717464</v>
      </c>
      <c r="F103" s="2">
        <v>0.1179245229948</v>
      </c>
      <c r="G103" s="2">
        <v>5.2737449926122101E-2</v>
      </c>
      <c r="H103" s="58">
        <v>0.99933000000000005</v>
      </c>
      <c r="I103" s="58">
        <v>0.249834</v>
      </c>
      <c r="J103" s="58">
        <v>2.5409000000000002</v>
      </c>
      <c r="K103" s="58">
        <v>7.1760000000000004E-2</v>
      </c>
      <c r="L103" s="58">
        <v>0.33700000000000002</v>
      </c>
    </row>
    <row r="104" spans="1:12" x14ac:dyDescent="0.35">
      <c r="A104" s="64"/>
      <c r="B104" s="2" t="s">
        <v>58</v>
      </c>
      <c r="C104" s="2" t="s">
        <v>15</v>
      </c>
      <c r="D104" s="2">
        <v>5</v>
      </c>
      <c r="E104" s="2">
        <v>1.5791420076</v>
      </c>
      <c r="F104" s="2">
        <v>0.46373206303265702</v>
      </c>
      <c r="G104" s="2">
        <v>0.20738728325744801</v>
      </c>
      <c r="H104" s="58"/>
      <c r="I104" s="58"/>
      <c r="J104" s="58"/>
      <c r="K104" s="58"/>
      <c r="L104" s="58"/>
    </row>
    <row r="105" spans="1:12" x14ac:dyDescent="0.35">
      <c r="A105" s="64"/>
      <c r="B105" s="2" t="s">
        <v>58</v>
      </c>
      <c r="C105" s="2" t="s">
        <v>16</v>
      </c>
      <c r="D105" s="2">
        <v>5</v>
      </c>
      <c r="E105" s="2">
        <v>1.4938302804000001</v>
      </c>
      <c r="F105" s="2">
        <v>0.18108847508782899</v>
      </c>
      <c r="G105" s="2">
        <v>8.0985228047632599E-2</v>
      </c>
      <c r="H105" s="58"/>
      <c r="I105" s="58"/>
      <c r="J105" s="58"/>
      <c r="K105" s="58"/>
      <c r="L105" s="58"/>
    </row>
    <row r="106" spans="1:12" x14ac:dyDescent="0.35">
      <c r="A106" s="64"/>
      <c r="B106" s="2" t="s">
        <v>58</v>
      </c>
      <c r="C106" s="2" t="s">
        <v>17</v>
      </c>
      <c r="D106" s="2">
        <v>5</v>
      </c>
      <c r="E106" s="2">
        <v>1.1552085459999999</v>
      </c>
      <c r="F106" s="2">
        <v>0.36078557387425098</v>
      </c>
      <c r="G106" s="2">
        <v>0.16134821369681901</v>
      </c>
      <c r="H106" s="58"/>
      <c r="I106" s="58"/>
      <c r="J106" s="58"/>
      <c r="K106" s="58"/>
      <c r="L106" s="58"/>
    </row>
    <row r="107" spans="1:12" x14ac:dyDescent="0.35">
      <c r="A107" s="64"/>
      <c r="B107" s="2" t="s">
        <v>58</v>
      </c>
      <c r="C107" s="2" t="s">
        <v>18</v>
      </c>
      <c r="D107" s="2">
        <v>5</v>
      </c>
      <c r="E107" s="2">
        <v>1.1332803156</v>
      </c>
      <c r="F107" s="2">
        <v>0.31576701968412302</v>
      </c>
      <c r="G107" s="2">
        <v>0.14121530421324299</v>
      </c>
      <c r="H107" s="58"/>
      <c r="I107" s="58"/>
      <c r="J107" s="58"/>
      <c r="K107" s="58"/>
      <c r="L107" s="58"/>
    </row>
    <row r="108" spans="1:12" s="24" customFormat="1" x14ac:dyDescent="0.35">
      <c r="A108" s="64"/>
      <c r="B108" s="24" t="s">
        <v>61</v>
      </c>
      <c r="C108" s="24" t="s">
        <v>14</v>
      </c>
      <c r="D108" s="24">
        <v>5</v>
      </c>
      <c r="E108" s="24">
        <v>0.62351999999999996</v>
      </c>
      <c r="F108" s="24">
        <v>5.37123077143404E-2</v>
      </c>
      <c r="G108" s="24">
        <v>2.4020874255530299E-2</v>
      </c>
      <c r="H108" s="59">
        <v>0.12278</v>
      </c>
      <c r="I108" s="59">
        <v>3.0693999999999999E-2</v>
      </c>
      <c r="J108" s="59">
        <v>2.0308000000000002</v>
      </c>
      <c r="K108" s="59">
        <v>0.12870000000000001</v>
      </c>
      <c r="L108" s="59">
        <v>0.2888</v>
      </c>
    </row>
    <row r="109" spans="1:12" s="24" customFormat="1" x14ac:dyDescent="0.35">
      <c r="A109" s="64"/>
      <c r="B109" s="24" t="s">
        <v>61</v>
      </c>
      <c r="C109" s="24" t="s">
        <v>15</v>
      </c>
      <c r="D109" s="24">
        <v>5</v>
      </c>
      <c r="E109" s="24">
        <v>0.72424319999999998</v>
      </c>
      <c r="F109" s="24">
        <v>0.12398062630588701</v>
      </c>
      <c r="G109" s="24">
        <v>5.5445821662592397E-2</v>
      </c>
      <c r="H109" s="59"/>
      <c r="I109" s="59"/>
      <c r="J109" s="59"/>
      <c r="K109" s="59"/>
      <c r="L109" s="59"/>
    </row>
    <row r="110" spans="1:12" s="24" customFormat="1" x14ac:dyDescent="0.35">
      <c r="A110" s="64"/>
      <c r="B110" s="24" t="s">
        <v>61</v>
      </c>
      <c r="C110" s="24" t="s">
        <v>16</v>
      </c>
      <c r="D110" s="24">
        <v>5</v>
      </c>
      <c r="E110" s="24">
        <v>0.69399359999999999</v>
      </c>
      <c r="F110" s="24">
        <v>0.10263201939356</v>
      </c>
      <c r="G110" s="24">
        <v>4.5898434406415202E-2</v>
      </c>
      <c r="H110" s="59"/>
      <c r="I110" s="59"/>
      <c r="J110" s="59"/>
      <c r="K110" s="59"/>
      <c r="L110" s="59"/>
    </row>
    <row r="111" spans="1:12" s="24" customFormat="1" x14ac:dyDescent="0.35">
      <c r="A111" s="64"/>
      <c r="B111" s="24" t="s">
        <v>61</v>
      </c>
      <c r="C111" s="24" t="s">
        <v>17</v>
      </c>
      <c r="D111" s="24">
        <v>5</v>
      </c>
      <c r="E111" s="24">
        <v>0.56408000000000003</v>
      </c>
      <c r="F111" s="24">
        <v>0.16165695778406799</v>
      </c>
      <c r="G111" s="24">
        <v>7.2295189328198006E-2</v>
      </c>
      <c r="H111" s="59"/>
      <c r="I111" s="59"/>
      <c r="J111" s="59"/>
      <c r="K111" s="59"/>
      <c r="L111" s="59"/>
    </row>
    <row r="112" spans="1:12" s="24" customFormat="1" x14ac:dyDescent="0.35">
      <c r="A112" s="64"/>
      <c r="B112" s="24" t="s">
        <v>61</v>
      </c>
      <c r="C112" s="24" t="s">
        <v>18</v>
      </c>
      <c r="D112" s="24">
        <v>5</v>
      </c>
      <c r="E112" s="24">
        <v>0.54520000000000002</v>
      </c>
      <c r="F112" s="24">
        <v>0.143700452330534</v>
      </c>
      <c r="G112" s="24">
        <v>6.4264795961708296E-2</v>
      </c>
      <c r="H112" s="59"/>
      <c r="I112" s="59"/>
      <c r="J112" s="59"/>
      <c r="K112" s="59"/>
      <c r="L112" s="59"/>
    </row>
    <row r="114" spans="1:1" x14ac:dyDescent="0.35">
      <c r="A114" s="1" t="s">
        <v>604</v>
      </c>
    </row>
    <row r="115" spans="1:1" x14ac:dyDescent="0.35">
      <c r="A115" s="2" t="s">
        <v>670</v>
      </c>
    </row>
    <row r="116" spans="1:1" x14ac:dyDescent="0.35">
      <c r="A116" s="2" t="s">
        <v>596</v>
      </c>
    </row>
    <row r="117" spans="1:1" x14ac:dyDescent="0.35">
      <c r="A117" s="2" t="s">
        <v>597</v>
      </c>
    </row>
    <row r="118" spans="1:1" ht="13.85" customHeight="1" x14ac:dyDescent="0.35">
      <c r="A118" s="2" t="s">
        <v>602</v>
      </c>
    </row>
    <row r="119" spans="1:1" x14ac:dyDescent="0.35">
      <c r="A119" s="2" t="s">
        <v>598</v>
      </c>
    </row>
    <row r="120" spans="1:1" x14ac:dyDescent="0.35">
      <c r="A120" s="2" t="s">
        <v>599</v>
      </c>
    </row>
    <row r="121" spans="1:1" x14ac:dyDescent="0.35">
      <c r="A121" s="2" t="s">
        <v>603</v>
      </c>
    </row>
    <row r="122" spans="1:1" x14ac:dyDescent="0.35">
      <c r="A122" s="2" t="s">
        <v>600</v>
      </c>
    </row>
    <row r="123" spans="1:1" x14ac:dyDescent="0.35">
      <c r="A123" s="9" t="s">
        <v>745</v>
      </c>
    </row>
    <row r="124" spans="1:1" x14ac:dyDescent="0.35">
      <c r="A124" s="2" t="s">
        <v>673</v>
      </c>
    </row>
    <row r="125" spans="1:1" x14ac:dyDescent="0.35">
      <c r="A125" s="2" t="s">
        <v>690</v>
      </c>
    </row>
    <row r="126" spans="1:1" x14ac:dyDescent="0.35">
      <c r="A126" s="2" t="s">
        <v>674</v>
      </c>
    </row>
    <row r="127" spans="1:1" x14ac:dyDescent="0.35">
      <c r="A127" s="2" t="s">
        <v>691</v>
      </c>
    </row>
    <row r="128" spans="1:1" x14ac:dyDescent="0.35">
      <c r="A128" s="2" t="s">
        <v>692</v>
      </c>
    </row>
    <row r="129" spans="1:1" x14ac:dyDescent="0.35">
      <c r="A129" s="2" t="s">
        <v>693</v>
      </c>
    </row>
  </sheetData>
  <mergeCells count="113">
    <mergeCell ref="A3:A37"/>
    <mergeCell ref="A38:A97"/>
    <mergeCell ref="A98:A112"/>
    <mergeCell ref="K83:K87"/>
    <mergeCell ref="L83:L87"/>
    <mergeCell ref="H88:H92"/>
    <mergeCell ref="I88:I92"/>
    <mergeCell ref="J88:J92"/>
    <mergeCell ref="K88:K92"/>
    <mergeCell ref="L88:L92"/>
    <mergeCell ref="K73:K77"/>
    <mergeCell ref="L73:L77"/>
    <mergeCell ref="H78:H82"/>
    <mergeCell ref="I78:I82"/>
    <mergeCell ref="J78:J82"/>
    <mergeCell ref="K78:K82"/>
    <mergeCell ref="L78:L82"/>
    <mergeCell ref="H3:H7"/>
    <mergeCell ref="I3:I7"/>
    <mergeCell ref="J3:J7"/>
    <mergeCell ref="K3:K7"/>
    <mergeCell ref="L3:L7"/>
    <mergeCell ref="L8:L12"/>
    <mergeCell ref="H13:H17"/>
    <mergeCell ref="I13:I17"/>
    <mergeCell ref="J13:J17"/>
    <mergeCell ref="K13:K17"/>
    <mergeCell ref="L13:L17"/>
    <mergeCell ref="H8:H12"/>
    <mergeCell ref="I8:I12"/>
    <mergeCell ref="J8:J12"/>
    <mergeCell ref="K8:K12"/>
    <mergeCell ref="K18:K22"/>
    <mergeCell ref="L18:L22"/>
    <mergeCell ref="H18:H22"/>
    <mergeCell ref="I18:I22"/>
    <mergeCell ref="J18:J22"/>
    <mergeCell ref="H53:H57"/>
    <mergeCell ref="I53:I57"/>
    <mergeCell ref="J53:J57"/>
    <mergeCell ref="H48:H52"/>
    <mergeCell ref="I48:I52"/>
    <mergeCell ref="J48:J52"/>
    <mergeCell ref="H23:H27"/>
    <mergeCell ref="I23:I27"/>
    <mergeCell ref="J23:J27"/>
    <mergeCell ref="I28:I32"/>
    <mergeCell ref="J28:J32"/>
    <mergeCell ref="J43:J47"/>
    <mergeCell ref="H38:H42"/>
    <mergeCell ref="H28:H32"/>
    <mergeCell ref="H103:H107"/>
    <mergeCell ref="H108:H112"/>
    <mergeCell ref="I98:I102"/>
    <mergeCell ref="I103:I107"/>
    <mergeCell ref="I108:I112"/>
    <mergeCell ref="J98:J102"/>
    <mergeCell ref="L28:L32"/>
    <mergeCell ref="H33:H37"/>
    <mergeCell ref="I33:I37"/>
    <mergeCell ref="J33:J37"/>
    <mergeCell ref="K33:K37"/>
    <mergeCell ref="L33:L37"/>
    <mergeCell ref="H43:H47"/>
    <mergeCell ref="I43:I47"/>
    <mergeCell ref="J103:J107"/>
    <mergeCell ref="J108:J112"/>
    <mergeCell ref="K93:K97"/>
    <mergeCell ref="L93:L97"/>
    <mergeCell ref="K58:K62"/>
    <mergeCell ref="L58:L62"/>
    <mergeCell ref="H63:H67"/>
    <mergeCell ref="I38:I42"/>
    <mergeCell ref="J38:J42"/>
    <mergeCell ref="L63:L67"/>
    <mergeCell ref="K103:K107"/>
    <mergeCell ref="K108:K112"/>
    <mergeCell ref="L103:L107"/>
    <mergeCell ref="L108:L112"/>
    <mergeCell ref="I83:I87"/>
    <mergeCell ref="J83:J87"/>
    <mergeCell ref="K23:K27"/>
    <mergeCell ref="L23:L27"/>
    <mergeCell ref="K28:K32"/>
    <mergeCell ref="L98:L102"/>
    <mergeCell ref="I68:I72"/>
    <mergeCell ref="J68:J72"/>
    <mergeCell ref="K68:K72"/>
    <mergeCell ref="L68:L72"/>
    <mergeCell ref="I73:I77"/>
    <mergeCell ref="K43:K47"/>
    <mergeCell ref="L43:L47"/>
    <mergeCell ref="K38:K42"/>
    <mergeCell ref="L38:L42"/>
    <mergeCell ref="K53:K57"/>
    <mergeCell ref="L53:L57"/>
    <mergeCell ref="K48:K52"/>
    <mergeCell ref="L48:L52"/>
    <mergeCell ref="H93:H97"/>
    <mergeCell ref="I93:I97"/>
    <mergeCell ref="J93:J97"/>
    <mergeCell ref="H58:H62"/>
    <mergeCell ref="I58:I62"/>
    <mergeCell ref="H98:H102"/>
    <mergeCell ref="K98:K102"/>
    <mergeCell ref="I63:I67"/>
    <mergeCell ref="J63:J67"/>
    <mergeCell ref="K63:K67"/>
    <mergeCell ref="H68:H72"/>
    <mergeCell ref="H73:H77"/>
    <mergeCell ref="J58:J62"/>
    <mergeCell ref="J73:J77"/>
    <mergeCell ref="H83:H87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4D277-1EDB-4968-8E4C-EB10141507E4}">
  <dimension ref="A1:D46"/>
  <sheetViews>
    <sheetView topLeftCell="A13" zoomScale="85" zoomScaleNormal="85" workbookViewId="0">
      <selection activeCell="F33" sqref="F33"/>
    </sheetView>
  </sheetViews>
  <sheetFormatPr defaultRowHeight="14.15" x14ac:dyDescent="0.35"/>
  <cols>
    <col min="1" max="1" width="29.85546875" style="2" customWidth="1"/>
    <col min="2" max="2" width="9.140625" style="2" customWidth="1"/>
    <col min="3" max="3" width="13.85546875" style="2" customWidth="1"/>
    <col min="4" max="16384" width="9.140625" style="2"/>
  </cols>
  <sheetData>
    <row r="1" spans="1:4" s="1" customFormat="1" x14ac:dyDescent="0.35">
      <c r="A1" s="44" t="s">
        <v>667</v>
      </c>
    </row>
    <row r="2" spans="1:4" s="1" customFormat="1" x14ac:dyDescent="0.35">
      <c r="A2" s="1" t="s">
        <v>663</v>
      </c>
      <c r="B2" s="1" t="s">
        <v>160</v>
      </c>
      <c r="C2" s="1" t="s">
        <v>666</v>
      </c>
      <c r="D2" s="1" t="s">
        <v>664</v>
      </c>
    </row>
    <row r="3" spans="1:4" x14ac:dyDescent="0.35">
      <c r="A3" s="2" t="s">
        <v>523</v>
      </c>
      <c r="B3" s="2" t="s">
        <v>14</v>
      </c>
      <c r="C3" s="2">
        <v>0.10199999999999999</v>
      </c>
      <c r="D3" s="58">
        <f>COUNTIF(C3:C9,"&gt;0")</f>
        <v>5</v>
      </c>
    </row>
    <row r="4" spans="1:4" x14ac:dyDescent="0.35">
      <c r="A4" s="2" t="s">
        <v>530</v>
      </c>
      <c r="B4" s="2" t="s">
        <v>14</v>
      </c>
      <c r="C4" s="2">
        <v>8.0000000000000002E-3</v>
      </c>
      <c r="D4" s="58"/>
    </row>
    <row r="5" spans="1:4" x14ac:dyDescent="0.35">
      <c r="A5" s="2" t="s">
        <v>536</v>
      </c>
      <c r="B5" s="2" t="s">
        <v>14</v>
      </c>
      <c r="C5" s="2">
        <v>0</v>
      </c>
      <c r="D5" s="58"/>
    </row>
    <row r="6" spans="1:4" x14ac:dyDescent="0.35">
      <c r="A6" s="2" t="s">
        <v>538</v>
      </c>
      <c r="B6" s="2" t="s">
        <v>14</v>
      </c>
      <c r="C6" s="2">
        <v>0.31</v>
      </c>
      <c r="D6" s="58"/>
    </row>
    <row r="7" spans="1:4" x14ac:dyDescent="0.35">
      <c r="A7" s="2" t="s">
        <v>540</v>
      </c>
      <c r="B7" s="2" t="s">
        <v>14</v>
      </c>
      <c r="C7" s="2">
        <v>0</v>
      </c>
      <c r="D7" s="58"/>
    </row>
    <row r="8" spans="1:4" x14ac:dyDescent="0.35">
      <c r="A8" s="2" t="s">
        <v>542</v>
      </c>
      <c r="B8" s="2" t="s">
        <v>14</v>
      </c>
      <c r="C8" s="2">
        <v>9.1999999999999998E-2</v>
      </c>
      <c r="D8" s="58"/>
    </row>
    <row r="9" spans="1:4" x14ac:dyDescent="0.35">
      <c r="A9" s="2" t="s">
        <v>544</v>
      </c>
      <c r="B9" s="2" t="s">
        <v>14</v>
      </c>
      <c r="C9" s="2">
        <v>0.42199999999999999</v>
      </c>
      <c r="D9" s="58"/>
    </row>
    <row r="10" spans="1:4" s="24" customFormat="1" x14ac:dyDescent="0.35">
      <c r="A10" s="24" t="s">
        <v>523</v>
      </c>
      <c r="B10" s="24" t="s">
        <v>15</v>
      </c>
      <c r="C10" s="24">
        <v>9.1999999999999998E-3</v>
      </c>
      <c r="D10" s="59">
        <f>COUNTIF(C10:C16,"&gt;0")</f>
        <v>5</v>
      </c>
    </row>
    <row r="11" spans="1:4" s="24" customFormat="1" x14ac:dyDescent="0.35">
      <c r="A11" s="24" t="s">
        <v>530</v>
      </c>
      <c r="B11" s="24" t="s">
        <v>15</v>
      </c>
      <c r="C11" s="24">
        <v>3.5999999999999997E-2</v>
      </c>
      <c r="D11" s="59"/>
    </row>
    <row r="12" spans="1:4" s="24" customFormat="1" x14ac:dyDescent="0.35">
      <c r="A12" s="24" t="s">
        <v>536</v>
      </c>
      <c r="B12" s="24" t="s">
        <v>15</v>
      </c>
      <c r="C12" s="24">
        <v>0</v>
      </c>
      <c r="D12" s="59"/>
    </row>
    <row r="13" spans="1:4" s="24" customFormat="1" x14ac:dyDescent="0.35">
      <c r="A13" s="24" t="s">
        <v>538</v>
      </c>
      <c r="B13" s="24" t="s">
        <v>15</v>
      </c>
      <c r="C13" s="24">
        <v>0.02</v>
      </c>
      <c r="D13" s="59"/>
    </row>
    <row r="14" spans="1:4" s="24" customFormat="1" x14ac:dyDescent="0.35">
      <c r="A14" s="24" t="s">
        <v>540</v>
      </c>
      <c r="B14" s="24" t="s">
        <v>15</v>
      </c>
      <c r="C14" s="24">
        <v>0</v>
      </c>
      <c r="D14" s="59"/>
    </row>
    <row r="15" spans="1:4" s="24" customFormat="1" x14ac:dyDescent="0.35">
      <c r="A15" s="24" t="s">
        <v>542</v>
      </c>
      <c r="B15" s="24" t="s">
        <v>15</v>
      </c>
      <c r="C15" s="24">
        <v>0.35599999999999998</v>
      </c>
      <c r="D15" s="59"/>
    </row>
    <row r="16" spans="1:4" s="24" customFormat="1" x14ac:dyDescent="0.35">
      <c r="A16" s="24" t="s">
        <v>544</v>
      </c>
      <c r="B16" s="24" t="s">
        <v>15</v>
      </c>
      <c r="C16" s="24">
        <v>0.28000000000000003</v>
      </c>
      <c r="D16" s="59"/>
    </row>
    <row r="17" spans="1:4" x14ac:dyDescent="0.35">
      <c r="A17" s="2" t="s">
        <v>523</v>
      </c>
      <c r="B17" s="2" t="s">
        <v>16</v>
      </c>
      <c r="C17" s="2">
        <v>4.5999999999999999E-2</v>
      </c>
      <c r="D17" s="58">
        <f>COUNTIF(C17:C23,"&gt;0")</f>
        <v>7</v>
      </c>
    </row>
    <row r="18" spans="1:4" x14ac:dyDescent="0.35">
      <c r="A18" s="2" t="s">
        <v>530</v>
      </c>
      <c r="B18" s="2" t="s">
        <v>16</v>
      </c>
      <c r="C18" s="2">
        <v>6.0000000000000001E-3</v>
      </c>
      <c r="D18" s="58"/>
    </row>
    <row r="19" spans="1:4" x14ac:dyDescent="0.35">
      <c r="A19" s="2" t="s">
        <v>536</v>
      </c>
      <c r="B19" s="2" t="s">
        <v>16</v>
      </c>
      <c r="C19" s="2">
        <v>5.6000000000000001E-2</v>
      </c>
      <c r="D19" s="58"/>
    </row>
    <row r="20" spans="1:4" x14ac:dyDescent="0.35">
      <c r="A20" s="2" t="s">
        <v>538</v>
      </c>
      <c r="B20" s="2" t="s">
        <v>16</v>
      </c>
      <c r="C20" s="2">
        <v>1.2800000000000001E-2</v>
      </c>
      <c r="D20" s="58"/>
    </row>
    <row r="21" spans="1:4" x14ac:dyDescent="0.35">
      <c r="A21" s="2" t="s">
        <v>540</v>
      </c>
      <c r="B21" s="2" t="s">
        <v>16</v>
      </c>
      <c r="C21" s="2">
        <v>3.5999999999999997E-2</v>
      </c>
      <c r="D21" s="58"/>
    </row>
    <row r="22" spans="1:4" x14ac:dyDescent="0.35">
      <c r="A22" s="2" t="s">
        <v>542</v>
      </c>
      <c r="B22" s="2" t="s">
        <v>16</v>
      </c>
      <c r="C22" s="2">
        <v>0.38400000000000001</v>
      </c>
      <c r="D22" s="58"/>
    </row>
    <row r="23" spans="1:4" x14ac:dyDescent="0.35">
      <c r="A23" s="2" t="s">
        <v>544</v>
      </c>
      <c r="B23" s="2" t="s">
        <v>16</v>
      </c>
      <c r="C23" s="2">
        <v>5.1999999999999998E-2</v>
      </c>
      <c r="D23" s="58"/>
    </row>
    <row r="24" spans="1:4" s="24" customFormat="1" x14ac:dyDescent="0.35">
      <c r="A24" s="24" t="s">
        <v>523</v>
      </c>
      <c r="B24" s="24" t="s">
        <v>17</v>
      </c>
      <c r="C24" s="24">
        <v>0.13200000000000001</v>
      </c>
      <c r="D24" s="59">
        <f>COUNTIF(C24:C30,"&gt;0")</f>
        <v>6</v>
      </c>
    </row>
    <row r="25" spans="1:4" s="24" customFormat="1" x14ac:dyDescent="0.35">
      <c r="A25" s="24" t="s">
        <v>530</v>
      </c>
      <c r="B25" s="24" t="s">
        <v>17</v>
      </c>
      <c r="C25" s="24">
        <v>4.0000000000000001E-3</v>
      </c>
      <c r="D25" s="59"/>
    </row>
    <row r="26" spans="1:4" s="24" customFormat="1" x14ac:dyDescent="0.35">
      <c r="A26" s="24" t="s">
        <v>536</v>
      </c>
      <c r="B26" s="24" t="s">
        <v>17</v>
      </c>
      <c r="C26" s="24">
        <v>0.02</v>
      </c>
      <c r="D26" s="59"/>
    </row>
    <row r="27" spans="1:4" s="24" customFormat="1" x14ac:dyDescent="0.35">
      <c r="A27" s="24" t="s">
        <v>538</v>
      </c>
      <c r="B27" s="24" t="s">
        <v>17</v>
      </c>
      <c r="C27" s="24">
        <v>8.0000000000000002E-3</v>
      </c>
      <c r="D27" s="59"/>
    </row>
    <row r="28" spans="1:4" s="24" customFormat="1" x14ac:dyDescent="0.35">
      <c r="A28" s="24" t="s">
        <v>540</v>
      </c>
      <c r="B28" s="24" t="s">
        <v>17</v>
      </c>
      <c r="C28" s="24">
        <v>0</v>
      </c>
      <c r="D28" s="59"/>
    </row>
    <row r="29" spans="1:4" s="24" customFormat="1" x14ac:dyDescent="0.35">
      <c r="A29" s="24" t="s">
        <v>542</v>
      </c>
      <c r="B29" s="24" t="s">
        <v>17</v>
      </c>
      <c r="C29" s="24">
        <v>0.47599999999999998</v>
      </c>
      <c r="D29" s="59"/>
    </row>
    <row r="30" spans="1:4" s="24" customFormat="1" x14ac:dyDescent="0.35">
      <c r="A30" s="24" t="s">
        <v>665</v>
      </c>
      <c r="B30" s="24" t="s">
        <v>17</v>
      </c>
      <c r="C30" s="24">
        <v>0.1</v>
      </c>
      <c r="D30" s="59"/>
    </row>
    <row r="31" spans="1:4" x14ac:dyDescent="0.35">
      <c r="A31" s="2" t="s">
        <v>523</v>
      </c>
      <c r="B31" s="2" t="s">
        <v>18</v>
      </c>
      <c r="C31" s="2">
        <v>0</v>
      </c>
      <c r="D31" s="58">
        <f>COUNTIF(C31:C37,"&gt;0")</f>
        <v>3</v>
      </c>
    </row>
    <row r="32" spans="1:4" x14ac:dyDescent="0.35">
      <c r="A32" s="2" t="s">
        <v>530</v>
      </c>
      <c r="B32" s="2" t="s">
        <v>18</v>
      </c>
      <c r="C32" s="2">
        <v>0</v>
      </c>
      <c r="D32" s="58"/>
    </row>
    <row r="33" spans="1:4" x14ac:dyDescent="0.35">
      <c r="A33" s="2" t="s">
        <v>536</v>
      </c>
      <c r="B33" s="2" t="s">
        <v>18</v>
      </c>
      <c r="C33" s="2">
        <v>0</v>
      </c>
      <c r="D33" s="58"/>
    </row>
    <row r="34" spans="1:4" x14ac:dyDescent="0.35">
      <c r="A34" s="2" t="s">
        <v>538</v>
      </c>
      <c r="B34" s="2" t="s">
        <v>18</v>
      </c>
      <c r="C34" s="2">
        <v>0</v>
      </c>
      <c r="D34" s="58"/>
    </row>
    <row r="35" spans="1:4" x14ac:dyDescent="0.35">
      <c r="A35" s="2" t="s">
        <v>540</v>
      </c>
      <c r="B35" s="2" t="s">
        <v>18</v>
      </c>
      <c r="C35" s="2">
        <v>6.4000000000000001E-2</v>
      </c>
      <c r="D35" s="58"/>
    </row>
    <row r="36" spans="1:4" x14ac:dyDescent="0.35">
      <c r="A36" s="2" t="s">
        <v>542</v>
      </c>
      <c r="B36" s="2" t="s">
        <v>18</v>
      </c>
      <c r="C36" s="2">
        <v>0.624</v>
      </c>
      <c r="D36" s="58"/>
    </row>
    <row r="37" spans="1:4" x14ac:dyDescent="0.35">
      <c r="A37" s="2" t="s">
        <v>544</v>
      </c>
      <c r="B37" s="2" t="s">
        <v>18</v>
      </c>
      <c r="C37" s="2">
        <v>7.5999999999999998E-2</v>
      </c>
      <c r="D37" s="58"/>
    </row>
    <row r="39" spans="1:4" x14ac:dyDescent="0.35">
      <c r="A39" s="1" t="s">
        <v>604</v>
      </c>
    </row>
    <row r="40" spans="1:4" x14ac:dyDescent="0.35">
      <c r="A40" s="2" t="s">
        <v>685</v>
      </c>
    </row>
    <row r="41" spans="1:4" x14ac:dyDescent="0.35">
      <c r="A41" s="2" t="s">
        <v>686</v>
      </c>
    </row>
    <row r="42" spans="1:4" x14ac:dyDescent="0.35">
      <c r="A42" s="2" t="s">
        <v>673</v>
      </c>
    </row>
    <row r="43" spans="1:4" x14ac:dyDescent="0.35">
      <c r="A43" s="2" t="s">
        <v>687</v>
      </c>
    </row>
    <row r="44" spans="1:4" x14ac:dyDescent="0.35">
      <c r="A44" s="2" t="s">
        <v>674</v>
      </c>
    </row>
    <row r="45" spans="1:4" x14ac:dyDescent="0.35">
      <c r="A45" s="2" t="s">
        <v>688</v>
      </c>
    </row>
    <row r="46" spans="1:4" x14ac:dyDescent="0.35">
      <c r="A46" s="2" t="s">
        <v>689</v>
      </c>
    </row>
  </sheetData>
  <mergeCells count="5">
    <mergeCell ref="D3:D9"/>
    <mergeCell ref="D10:D16"/>
    <mergeCell ref="D17:D23"/>
    <mergeCell ref="D24:D30"/>
    <mergeCell ref="D31:D37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844C7-E5E9-4910-8F25-4CF49EA89DA0}">
  <dimension ref="A1:T70"/>
  <sheetViews>
    <sheetView zoomScale="55" zoomScaleNormal="55" workbookViewId="0">
      <selection activeCell="S59" sqref="S59"/>
    </sheetView>
  </sheetViews>
  <sheetFormatPr defaultRowHeight="14.15" x14ac:dyDescent="0.35"/>
  <cols>
    <col min="1" max="1" width="23.42578125" style="2" customWidth="1"/>
    <col min="2" max="3" width="9.140625" style="2"/>
    <col min="4" max="4" width="14.5" style="2" customWidth="1"/>
    <col min="5" max="16384" width="9.140625" style="2"/>
  </cols>
  <sheetData>
    <row r="1" spans="1:20" s="1" customFormat="1" x14ac:dyDescent="0.35">
      <c r="A1" s="1" t="s">
        <v>657</v>
      </c>
    </row>
    <row r="2" spans="1:20" x14ac:dyDescent="0.35">
      <c r="B2" s="65" t="s">
        <v>619</v>
      </c>
      <c r="C2" s="65"/>
      <c r="D2" s="65"/>
      <c r="E2" s="65"/>
      <c r="F2" s="66" t="s">
        <v>653</v>
      </c>
      <c r="G2" s="66"/>
      <c r="H2" s="66"/>
      <c r="I2" s="66"/>
      <c r="J2" s="66"/>
      <c r="K2" s="67" t="s">
        <v>654</v>
      </c>
      <c r="L2" s="67"/>
      <c r="M2" s="67"/>
      <c r="N2" s="67"/>
      <c r="O2" s="67"/>
      <c r="P2" s="68" t="s">
        <v>655</v>
      </c>
      <c r="Q2" s="68"/>
      <c r="R2" s="68"/>
      <c r="S2" s="68"/>
      <c r="T2" s="68"/>
    </row>
    <row r="3" spans="1:20" s="1" customFormat="1" x14ac:dyDescent="0.35">
      <c r="A3" s="1" t="s">
        <v>663</v>
      </c>
      <c r="B3" s="27" t="s">
        <v>551</v>
      </c>
      <c r="C3" s="27" t="s">
        <v>552</v>
      </c>
      <c r="D3" s="27" t="s">
        <v>553</v>
      </c>
      <c r="E3" s="27" t="s">
        <v>554</v>
      </c>
      <c r="F3" s="28" t="s">
        <v>622</v>
      </c>
      <c r="G3" s="28" t="s">
        <v>623</v>
      </c>
      <c r="H3" s="28" t="s">
        <v>624</v>
      </c>
      <c r="I3" s="28" t="s">
        <v>625</v>
      </c>
      <c r="J3" s="28" t="s">
        <v>626</v>
      </c>
      <c r="K3" s="29" t="s">
        <v>629</v>
      </c>
      <c r="L3" s="29" t="s">
        <v>630</v>
      </c>
      <c r="M3" s="29" t="s">
        <v>631</v>
      </c>
      <c r="N3" s="29" t="s">
        <v>632</v>
      </c>
      <c r="O3" s="29" t="s">
        <v>633</v>
      </c>
      <c r="P3" s="30" t="s">
        <v>637</v>
      </c>
      <c r="Q3" s="30" t="s">
        <v>638</v>
      </c>
      <c r="R3" s="30" t="s">
        <v>639</v>
      </c>
      <c r="S3" s="30" t="s">
        <v>640</v>
      </c>
      <c r="T3" s="30" t="s">
        <v>641</v>
      </c>
    </row>
    <row r="4" spans="1:20" x14ac:dyDescent="0.35">
      <c r="A4" s="2" t="s">
        <v>521</v>
      </c>
      <c r="B4" s="2" t="s">
        <v>644</v>
      </c>
      <c r="C4" s="2">
        <v>0.336842105</v>
      </c>
      <c r="D4" s="2">
        <v>0.1885</v>
      </c>
      <c r="E4" s="2">
        <v>4</v>
      </c>
      <c r="F4" s="2">
        <v>0</v>
      </c>
      <c r="G4" s="2">
        <v>0</v>
      </c>
      <c r="H4" s="2">
        <v>0.2</v>
      </c>
      <c r="I4" s="2">
        <v>0.4</v>
      </c>
      <c r="J4" s="2">
        <v>0.2</v>
      </c>
      <c r="K4" s="2">
        <v>0</v>
      </c>
      <c r="L4" s="2">
        <v>0</v>
      </c>
      <c r="M4" s="2">
        <v>5.2631578999999998E-2</v>
      </c>
      <c r="N4" s="2">
        <v>0.84210526299999999</v>
      </c>
      <c r="O4" s="2">
        <v>0.105263158</v>
      </c>
      <c r="P4" s="2">
        <v>0</v>
      </c>
      <c r="Q4" s="2">
        <v>0</v>
      </c>
      <c r="R4" s="2">
        <v>1.0526316000000001E-2</v>
      </c>
      <c r="S4" s="2">
        <v>0.336842105</v>
      </c>
      <c r="T4" s="2">
        <v>2.1052632000000002E-2</v>
      </c>
    </row>
    <row r="5" spans="1:20" x14ac:dyDescent="0.35">
      <c r="A5" s="2" t="s">
        <v>513</v>
      </c>
      <c r="B5" s="2" t="s">
        <v>644</v>
      </c>
      <c r="C5" s="2">
        <v>0.4</v>
      </c>
      <c r="D5" s="2">
        <v>0.1696</v>
      </c>
      <c r="E5" s="2">
        <v>2</v>
      </c>
      <c r="F5" s="2">
        <v>0</v>
      </c>
      <c r="G5" s="2">
        <v>0</v>
      </c>
      <c r="H5" s="2">
        <v>0</v>
      </c>
      <c r="I5" s="2">
        <v>0.4</v>
      </c>
      <c r="J5" s="2">
        <v>0</v>
      </c>
      <c r="K5" s="2">
        <v>0</v>
      </c>
      <c r="L5" s="2">
        <v>0</v>
      </c>
      <c r="M5" s="2">
        <v>0</v>
      </c>
      <c r="N5" s="2">
        <v>1</v>
      </c>
      <c r="O5" s="2">
        <v>0</v>
      </c>
      <c r="P5" s="2">
        <v>0</v>
      </c>
      <c r="Q5" s="2">
        <v>0</v>
      </c>
      <c r="R5" s="2">
        <v>0</v>
      </c>
      <c r="S5" s="2">
        <v>0.4</v>
      </c>
      <c r="T5" s="2">
        <v>0</v>
      </c>
    </row>
    <row r="6" spans="1:20" s="24" customFormat="1" x14ac:dyDescent="0.35">
      <c r="A6" s="24" t="s">
        <v>514</v>
      </c>
      <c r="B6" s="24" t="s">
        <v>644</v>
      </c>
      <c r="C6" s="24">
        <v>0.6</v>
      </c>
      <c r="D6" s="24">
        <v>2.23E-2</v>
      </c>
      <c r="E6" s="24">
        <v>3</v>
      </c>
      <c r="F6" s="24">
        <v>0</v>
      </c>
      <c r="G6" s="24">
        <v>0</v>
      </c>
      <c r="H6" s="24">
        <v>0</v>
      </c>
      <c r="I6" s="24">
        <v>0.6</v>
      </c>
      <c r="J6" s="24">
        <v>0</v>
      </c>
      <c r="K6" s="24">
        <v>0</v>
      </c>
      <c r="L6" s="24">
        <v>0</v>
      </c>
      <c r="M6" s="24">
        <v>0</v>
      </c>
      <c r="N6" s="24">
        <v>1</v>
      </c>
      <c r="O6" s="24">
        <v>0</v>
      </c>
      <c r="P6" s="24">
        <v>0</v>
      </c>
      <c r="Q6" s="24">
        <v>0</v>
      </c>
      <c r="R6" s="24">
        <v>0</v>
      </c>
      <c r="S6" s="24">
        <v>0.6</v>
      </c>
      <c r="T6" s="24">
        <v>0</v>
      </c>
    </row>
    <row r="7" spans="1:20" x14ac:dyDescent="0.35">
      <c r="A7" s="2" t="s">
        <v>523</v>
      </c>
      <c r="B7" s="2" t="s">
        <v>213</v>
      </c>
      <c r="C7" s="2">
        <v>0.211618257</v>
      </c>
      <c r="D7" s="2">
        <v>0.62970000000000004</v>
      </c>
      <c r="E7" s="2">
        <v>8</v>
      </c>
      <c r="F7" s="2">
        <v>0.6</v>
      </c>
      <c r="G7" s="2">
        <v>0.4</v>
      </c>
      <c r="H7" s="2">
        <v>0.4</v>
      </c>
      <c r="I7" s="2">
        <v>0.2</v>
      </c>
      <c r="J7" s="2">
        <v>0</v>
      </c>
      <c r="K7" s="2">
        <v>0.35269709500000002</v>
      </c>
      <c r="L7" s="2">
        <v>3.1811895E-2</v>
      </c>
      <c r="M7" s="2">
        <v>0.15905947400000001</v>
      </c>
      <c r="N7" s="2">
        <v>0.456431535</v>
      </c>
      <c r="O7" s="2">
        <v>0</v>
      </c>
      <c r="P7" s="2">
        <v>0.211618257</v>
      </c>
      <c r="Q7" s="2">
        <v>1.2724757999999999E-2</v>
      </c>
      <c r="R7" s="2">
        <v>6.362379E-2</v>
      </c>
      <c r="S7" s="2">
        <v>9.1286306999999997E-2</v>
      </c>
      <c r="T7" s="2">
        <v>0</v>
      </c>
    </row>
    <row r="8" spans="1:20" x14ac:dyDescent="0.35">
      <c r="A8" s="2" t="s">
        <v>499</v>
      </c>
      <c r="B8" s="2" t="s">
        <v>642</v>
      </c>
      <c r="C8" s="2">
        <v>0.2</v>
      </c>
      <c r="D8" s="2">
        <v>1</v>
      </c>
      <c r="E8" s="2">
        <v>1</v>
      </c>
      <c r="F8" s="2">
        <v>0</v>
      </c>
      <c r="G8" s="2">
        <v>0.2</v>
      </c>
      <c r="H8" s="2">
        <v>0</v>
      </c>
      <c r="I8" s="2">
        <v>0</v>
      </c>
      <c r="J8" s="2">
        <v>0</v>
      </c>
      <c r="K8" s="2">
        <v>0</v>
      </c>
      <c r="L8" s="2">
        <v>1</v>
      </c>
      <c r="M8" s="2">
        <v>0</v>
      </c>
      <c r="N8" s="2">
        <v>0</v>
      </c>
      <c r="O8" s="2">
        <v>0</v>
      </c>
      <c r="P8" s="2">
        <v>0</v>
      </c>
      <c r="Q8" s="2">
        <v>0.2</v>
      </c>
      <c r="R8" s="2">
        <v>0</v>
      </c>
      <c r="S8" s="2">
        <v>0</v>
      </c>
      <c r="T8" s="2">
        <v>0</v>
      </c>
    </row>
    <row r="9" spans="1:20" s="24" customFormat="1" x14ac:dyDescent="0.35">
      <c r="A9" s="24" t="s">
        <v>525</v>
      </c>
      <c r="B9" s="24" t="s">
        <v>642</v>
      </c>
      <c r="C9" s="24">
        <v>0.55384615400000003</v>
      </c>
      <c r="D9" s="24">
        <v>4.07E-2</v>
      </c>
      <c r="E9" s="24">
        <v>4</v>
      </c>
      <c r="F9" s="24">
        <v>0</v>
      </c>
      <c r="G9" s="24">
        <v>0.6</v>
      </c>
      <c r="H9" s="24">
        <v>0.2</v>
      </c>
      <c r="I9" s="24">
        <v>0</v>
      </c>
      <c r="J9" s="24">
        <v>0</v>
      </c>
      <c r="K9" s="24">
        <v>0</v>
      </c>
      <c r="L9" s="24">
        <v>0.92307692299999999</v>
      </c>
      <c r="M9" s="24">
        <v>7.6923077000000006E-2</v>
      </c>
      <c r="N9" s="24">
        <v>0</v>
      </c>
      <c r="O9" s="24">
        <v>0</v>
      </c>
      <c r="P9" s="24">
        <v>0</v>
      </c>
      <c r="Q9" s="24">
        <v>0.55384615400000003</v>
      </c>
      <c r="R9" s="24">
        <v>1.5384615000000001E-2</v>
      </c>
      <c r="S9" s="24">
        <v>0</v>
      </c>
      <c r="T9" s="24">
        <v>0</v>
      </c>
    </row>
    <row r="10" spans="1:20" x14ac:dyDescent="0.35">
      <c r="A10" s="2" t="s">
        <v>500</v>
      </c>
      <c r="B10" s="2" t="s">
        <v>642</v>
      </c>
      <c r="C10" s="2">
        <v>0.4</v>
      </c>
      <c r="D10" s="2">
        <v>0.16889999999999999</v>
      </c>
      <c r="E10" s="2">
        <v>2</v>
      </c>
      <c r="F10" s="2">
        <v>0</v>
      </c>
      <c r="G10" s="2">
        <v>0.4</v>
      </c>
      <c r="H10" s="2">
        <v>0</v>
      </c>
      <c r="I10" s="2">
        <v>0</v>
      </c>
      <c r="J10" s="2">
        <v>0</v>
      </c>
      <c r="K10" s="2">
        <v>0</v>
      </c>
      <c r="L10" s="2">
        <v>1</v>
      </c>
      <c r="M10" s="2">
        <v>0</v>
      </c>
      <c r="N10" s="2">
        <v>0</v>
      </c>
      <c r="O10" s="2">
        <v>0</v>
      </c>
      <c r="P10" s="2">
        <v>0</v>
      </c>
      <c r="Q10" s="2">
        <v>0.4</v>
      </c>
      <c r="R10" s="2">
        <v>0</v>
      </c>
      <c r="S10" s="2">
        <v>0</v>
      </c>
      <c r="T10" s="2">
        <v>0</v>
      </c>
    </row>
    <row r="11" spans="1:20" x14ac:dyDescent="0.35">
      <c r="A11" s="2" t="s">
        <v>507</v>
      </c>
      <c r="B11" s="2" t="s">
        <v>643</v>
      </c>
      <c r="C11" s="2">
        <v>0.4</v>
      </c>
      <c r="D11" s="2">
        <v>0.1656</v>
      </c>
      <c r="E11" s="2">
        <v>2</v>
      </c>
      <c r="F11" s="2">
        <v>0</v>
      </c>
      <c r="G11" s="2">
        <v>0</v>
      </c>
      <c r="H11" s="2">
        <v>0.4</v>
      </c>
      <c r="I11" s="2">
        <v>0</v>
      </c>
      <c r="J11" s="2">
        <v>0</v>
      </c>
      <c r="K11" s="2">
        <v>0</v>
      </c>
      <c r="L11" s="2">
        <v>0</v>
      </c>
      <c r="M11" s="2">
        <v>1</v>
      </c>
      <c r="N11" s="2">
        <v>0</v>
      </c>
      <c r="O11" s="2">
        <v>0</v>
      </c>
      <c r="P11" s="2">
        <v>0</v>
      </c>
      <c r="Q11" s="2">
        <v>0</v>
      </c>
      <c r="R11" s="2">
        <v>0.4</v>
      </c>
      <c r="S11" s="2">
        <v>0</v>
      </c>
      <c r="T11" s="2">
        <v>0</v>
      </c>
    </row>
    <row r="12" spans="1:20" x14ac:dyDescent="0.35">
      <c r="A12" s="2" t="s">
        <v>527</v>
      </c>
      <c r="B12" s="2" t="s">
        <v>642</v>
      </c>
      <c r="C12" s="2">
        <v>0.14285714299999999</v>
      </c>
      <c r="D12" s="2">
        <v>1</v>
      </c>
      <c r="E12" s="2">
        <v>2</v>
      </c>
      <c r="F12" s="2">
        <v>0</v>
      </c>
      <c r="G12" s="2">
        <v>0.2</v>
      </c>
      <c r="H12" s="2">
        <v>0.2</v>
      </c>
      <c r="I12" s="2">
        <v>0</v>
      </c>
      <c r="J12" s="2">
        <v>0</v>
      </c>
      <c r="K12" s="2">
        <v>0</v>
      </c>
      <c r="L12" s="2">
        <v>0.71428571399999996</v>
      </c>
      <c r="M12" s="2">
        <v>0.28571428599999998</v>
      </c>
      <c r="N12" s="2">
        <v>0</v>
      </c>
      <c r="O12" s="2">
        <v>0</v>
      </c>
      <c r="P12" s="2">
        <v>0</v>
      </c>
      <c r="Q12" s="2">
        <v>0.14285714299999999</v>
      </c>
      <c r="R12" s="2">
        <v>5.7142856999999998E-2</v>
      </c>
      <c r="S12" s="2">
        <v>0</v>
      </c>
      <c r="T12" s="2">
        <v>0</v>
      </c>
    </row>
    <row r="13" spans="1:20" s="24" customFormat="1" x14ac:dyDescent="0.35">
      <c r="A13" s="24" t="s">
        <v>501</v>
      </c>
      <c r="B13" s="24" t="s">
        <v>642</v>
      </c>
      <c r="C13" s="24">
        <v>0.8</v>
      </c>
      <c r="D13" s="24">
        <v>1.8E-3</v>
      </c>
      <c r="E13" s="24">
        <v>4</v>
      </c>
      <c r="F13" s="24">
        <v>0</v>
      </c>
      <c r="G13" s="24">
        <v>0.8</v>
      </c>
      <c r="H13" s="24">
        <v>0</v>
      </c>
      <c r="I13" s="24">
        <v>0</v>
      </c>
      <c r="J13" s="24">
        <v>0</v>
      </c>
      <c r="K13" s="24">
        <v>0</v>
      </c>
      <c r="L13" s="24">
        <v>1</v>
      </c>
      <c r="M13" s="24">
        <v>0</v>
      </c>
      <c r="N13" s="24">
        <v>0</v>
      </c>
      <c r="O13" s="24">
        <v>0</v>
      </c>
      <c r="P13" s="24">
        <v>0</v>
      </c>
      <c r="Q13" s="24">
        <v>0.8</v>
      </c>
      <c r="R13" s="24">
        <v>0</v>
      </c>
      <c r="S13" s="24">
        <v>0</v>
      </c>
      <c r="T13" s="24">
        <v>0</v>
      </c>
    </row>
    <row r="14" spans="1:20" x14ac:dyDescent="0.35">
      <c r="A14" s="2" t="s">
        <v>502</v>
      </c>
      <c r="B14" s="2" t="s">
        <v>642</v>
      </c>
      <c r="C14" s="2">
        <v>0.2</v>
      </c>
      <c r="D14" s="2">
        <v>1</v>
      </c>
      <c r="E14" s="2">
        <v>1</v>
      </c>
      <c r="F14" s="2">
        <v>0</v>
      </c>
      <c r="G14" s="2">
        <v>0.2</v>
      </c>
      <c r="H14" s="2">
        <v>0</v>
      </c>
      <c r="I14" s="2">
        <v>0</v>
      </c>
      <c r="J14" s="2">
        <v>0</v>
      </c>
      <c r="K14" s="2">
        <v>0</v>
      </c>
      <c r="L14" s="2">
        <v>1</v>
      </c>
      <c r="M14" s="2">
        <v>0</v>
      </c>
      <c r="N14" s="2">
        <v>0</v>
      </c>
      <c r="O14" s="2">
        <v>0</v>
      </c>
      <c r="P14" s="2">
        <v>0</v>
      </c>
      <c r="Q14" s="2">
        <v>0.2</v>
      </c>
      <c r="R14" s="2">
        <v>0</v>
      </c>
      <c r="S14" s="2">
        <v>0</v>
      </c>
      <c r="T14" s="2">
        <v>0</v>
      </c>
    </row>
    <row r="15" spans="1:20" x14ac:dyDescent="0.35">
      <c r="A15" s="2" t="s">
        <v>528</v>
      </c>
      <c r="B15" s="2" t="s">
        <v>213</v>
      </c>
      <c r="C15" s="2">
        <v>0.117647059</v>
      </c>
      <c r="D15" s="2">
        <v>1</v>
      </c>
      <c r="E15" s="2">
        <v>2</v>
      </c>
      <c r="F15" s="2">
        <v>0.2</v>
      </c>
      <c r="G15" s="2">
        <v>0.2</v>
      </c>
      <c r="H15" s="2">
        <v>0</v>
      </c>
      <c r="I15" s="2">
        <v>0</v>
      </c>
      <c r="J15" s="2">
        <v>0</v>
      </c>
      <c r="K15" s="2">
        <v>0.58823529399999996</v>
      </c>
      <c r="L15" s="2">
        <v>0.41176470599999998</v>
      </c>
      <c r="M15" s="2">
        <v>0</v>
      </c>
      <c r="N15" s="2">
        <v>0</v>
      </c>
      <c r="O15" s="2">
        <v>0</v>
      </c>
      <c r="P15" s="2">
        <v>0.117647059</v>
      </c>
      <c r="Q15" s="2">
        <v>8.2352940999999999E-2</v>
      </c>
      <c r="R15" s="2">
        <v>0</v>
      </c>
      <c r="S15" s="2">
        <v>0</v>
      </c>
      <c r="T15" s="2">
        <v>0</v>
      </c>
    </row>
    <row r="16" spans="1:20" x14ac:dyDescent="0.35">
      <c r="A16" s="2" t="s">
        <v>508</v>
      </c>
      <c r="B16" s="2" t="s">
        <v>643</v>
      </c>
      <c r="C16" s="2">
        <v>0.2</v>
      </c>
      <c r="D16" s="2">
        <v>1</v>
      </c>
      <c r="E16" s="2">
        <v>1</v>
      </c>
      <c r="F16" s="2">
        <v>0</v>
      </c>
      <c r="G16" s="2">
        <v>0</v>
      </c>
      <c r="H16" s="2">
        <v>0.2</v>
      </c>
      <c r="I16" s="2">
        <v>0</v>
      </c>
      <c r="J16" s="2">
        <v>0</v>
      </c>
      <c r="K16" s="2">
        <v>0</v>
      </c>
      <c r="L16" s="2">
        <v>0</v>
      </c>
      <c r="M16" s="2">
        <v>1</v>
      </c>
      <c r="N16" s="2">
        <v>0</v>
      </c>
      <c r="O16" s="2">
        <v>0</v>
      </c>
      <c r="P16" s="2">
        <v>0</v>
      </c>
      <c r="Q16" s="2">
        <v>0</v>
      </c>
      <c r="R16" s="2">
        <v>0.2</v>
      </c>
      <c r="S16" s="2">
        <v>0</v>
      </c>
      <c r="T16" s="2">
        <v>0</v>
      </c>
    </row>
    <row r="17" spans="1:20" x14ac:dyDescent="0.35">
      <c r="A17" s="2" t="s">
        <v>530</v>
      </c>
      <c r="B17" s="2" t="s">
        <v>642</v>
      </c>
      <c r="C17" s="2">
        <v>0.26666666700000002</v>
      </c>
      <c r="D17" s="2">
        <v>0.54430000000000001</v>
      </c>
      <c r="E17" s="2">
        <v>6</v>
      </c>
      <c r="F17" s="2">
        <v>0.2</v>
      </c>
      <c r="G17" s="2">
        <v>0.4</v>
      </c>
      <c r="H17" s="2">
        <v>0.4</v>
      </c>
      <c r="I17" s="2">
        <v>0.2</v>
      </c>
      <c r="J17" s="2">
        <v>0</v>
      </c>
      <c r="K17" s="2">
        <v>0.14814814800000001</v>
      </c>
      <c r="L17" s="2">
        <v>0.66666666699999999</v>
      </c>
      <c r="M17" s="2">
        <v>0.111111111</v>
      </c>
      <c r="N17" s="2">
        <v>7.4074074000000004E-2</v>
      </c>
      <c r="O17" s="2">
        <v>0</v>
      </c>
      <c r="P17" s="2">
        <v>2.9629630000000001E-2</v>
      </c>
      <c r="Q17" s="2">
        <v>0.26666666700000002</v>
      </c>
      <c r="R17" s="2">
        <v>4.4444444E-2</v>
      </c>
      <c r="S17" s="2">
        <v>1.4814815E-2</v>
      </c>
      <c r="T17" s="2">
        <v>0</v>
      </c>
    </row>
    <row r="18" spans="1:20" x14ac:dyDescent="0.35">
      <c r="A18" s="2" t="s">
        <v>531</v>
      </c>
      <c r="B18" s="2" t="s">
        <v>643</v>
      </c>
      <c r="C18" s="2">
        <v>0.21333333300000001</v>
      </c>
      <c r="D18" s="2">
        <v>0.45369999999999999</v>
      </c>
      <c r="E18" s="2">
        <v>4</v>
      </c>
      <c r="F18" s="2">
        <v>0</v>
      </c>
      <c r="G18" s="2">
        <v>0</v>
      </c>
      <c r="H18" s="2">
        <v>0.4</v>
      </c>
      <c r="I18" s="2">
        <v>0.2</v>
      </c>
      <c r="J18" s="2">
        <v>0.2</v>
      </c>
      <c r="K18" s="2">
        <v>0</v>
      </c>
      <c r="L18" s="2">
        <v>0</v>
      </c>
      <c r="M18" s="2">
        <v>0.53333333299999997</v>
      </c>
      <c r="N18" s="2">
        <v>0.26666666700000002</v>
      </c>
      <c r="O18" s="2">
        <v>0.2</v>
      </c>
      <c r="P18" s="2">
        <v>0</v>
      </c>
      <c r="Q18" s="2">
        <v>0</v>
      </c>
      <c r="R18" s="2">
        <v>0.21333333300000001</v>
      </c>
      <c r="S18" s="2">
        <v>5.3333332999999997E-2</v>
      </c>
      <c r="T18" s="2">
        <v>0.04</v>
      </c>
    </row>
    <row r="19" spans="1:20" x14ac:dyDescent="0.35">
      <c r="A19" s="2" t="s">
        <v>532</v>
      </c>
      <c r="B19" s="2" t="s">
        <v>644</v>
      </c>
      <c r="C19" s="2">
        <v>0.133333333</v>
      </c>
      <c r="D19" s="2">
        <v>1</v>
      </c>
      <c r="E19" s="2">
        <v>2</v>
      </c>
      <c r="F19" s="2">
        <v>0</v>
      </c>
      <c r="G19" s="2">
        <v>0</v>
      </c>
      <c r="H19" s="2">
        <v>0</v>
      </c>
      <c r="I19" s="2">
        <v>0.2</v>
      </c>
      <c r="J19" s="2">
        <v>0.2</v>
      </c>
      <c r="K19" s="2">
        <v>0</v>
      </c>
      <c r="L19" s="2">
        <v>0</v>
      </c>
      <c r="M19" s="2">
        <v>0</v>
      </c>
      <c r="N19" s="2">
        <v>0.66666666699999999</v>
      </c>
      <c r="O19" s="2">
        <v>0.33333333300000001</v>
      </c>
      <c r="P19" s="2">
        <v>0</v>
      </c>
      <c r="Q19" s="2">
        <v>0</v>
      </c>
      <c r="R19" s="2">
        <v>0</v>
      </c>
      <c r="S19" s="2">
        <v>0.133333333</v>
      </c>
      <c r="T19" s="2">
        <v>6.6666666999999999E-2</v>
      </c>
    </row>
    <row r="20" spans="1:20" x14ac:dyDescent="0.35">
      <c r="A20" s="2" t="s">
        <v>534</v>
      </c>
      <c r="B20" s="2" t="s">
        <v>644</v>
      </c>
      <c r="C20" s="2">
        <v>0.133333333</v>
      </c>
      <c r="D20" s="2">
        <v>1</v>
      </c>
      <c r="E20" s="2">
        <v>2</v>
      </c>
      <c r="F20" s="2">
        <v>0</v>
      </c>
      <c r="G20" s="2">
        <v>0.2</v>
      </c>
      <c r="H20" s="2">
        <v>0</v>
      </c>
      <c r="I20" s="2">
        <v>0.2</v>
      </c>
      <c r="J20" s="2">
        <v>0</v>
      </c>
      <c r="K20" s="2">
        <v>0</v>
      </c>
      <c r="L20" s="2">
        <v>0.33333333300000001</v>
      </c>
      <c r="M20" s="2">
        <v>0</v>
      </c>
      <c r="N20" s="2">
        <v>0.66666666699999999</v>
      </c>
      <c r="O20" s="2">
        <v>0</v>
      </c>
      <c r="P20" s="2">
        <v>0</v>
      </c>
      <c r="Q20" s="2">
        <v>6.6666666999999999E-2</v>
      </c>
      <c r="R20" s="2">
        <v>0</v>
      </c>
      <c r="S20" s="2">
        <v>0.133333333</v>
      </c>
      <c r="T20" s="2">
        <v>0</v>
      </c>
    </row>
    <row r="21" spans="1:20" s="24" customFormat="1" x14ac:dyDescent="0.35">
      <c r="A21" s="24" t="s">
        <v>536</v>
      </c>
      <c r="B21" s="24" t="s">
        <v>643</v>
      </c>
      <c r="C21" s="24">
        <v>0.589473684</v>
      </c>
      <c r="D21" s="24">
        <v>8.5000000000000006E-3</v>
      </c>
      <c r="E21" s="24">
        <v>6</v>
      </c>
      <c r="F21" s="24">
        <v>0</v>
      </c>
      <c r="G21" s="24">
        <v>0</v>
      </c>
      <c r="H21" s="24">
        <v>0.8</v>
      </c>
      <c r="I21" s="24">
        <v>0.4</v>
      </c>
      <c r="J21" s="24">
        <v>0</v>
      </c>
      <c r="K21" s="24">
        <v>0</v>
      </c>
      <c r="L21" s="24">
        <v>0</v>
      </c>
      <c r="M21" s="24">
        <v>0.73684210500000002</v>
      </c>
      <c r="N21" s="24">
        <v>0.26315789499999998</v>
      </c>
      <c r="O21" s="24">
        <v>0</v>
      </c>
      <c r="P21" s="24">
        <v>0</v>
      </c>
      <c r="Q21" s="24">
        <v>0</v>
      </c>
      <c r="R21" s="24">
        <v>0.589473684</v>
      </c>
      <c r="S21" s="24">
        <v>0.105263158</v>
      </c>
      <c r="T21" s="24">
        <v>0</v>
      </c>
    </row>
    <row r="22" spans="1:20" x14ac:dyDescent="0.35">
      <c r="A22" s="2" t="s">
        <v>509</v>
      </c>
      <c r="B22" s="2" t="s">
        <v>643</v>
      </c>
      <c r="C22" s="2">
        <v>0.4</v>
      </c>
      <c r="D22" s="2">
        <v>0.15989999999999999</v>
      </c>
      <c r="E22" s="2">
        <v>2</v>
      </c>
      <c r="F22" s="2">
        <v>0</v>
      </c>
      <c r="G22" s="2">
        <v>0</v>
      </c>
      <c r="H22" s="2">
        <v>0.4</v>
      </c>
      <c r="I22" s="2">
        <v>0</v>
      </c>
      <c r="J22" s="2">
        <v>0</v>
      </c>
      <c r="K22" s="2">
        <v>0</v>
      </c>
      <c r="L22" s="2">
        <v>0</v>
      </c>
      <c r="M22" s="2">
        <v>1</v>
      </c>
      <c r="N22" s="2">
        <v>0</v>
      </c>
      <c r="O22" s="2">
        <v>0</v>
      </c>
      <c r="P22" s="2">
        <v>0</v>
      </c>
      <c r="Q22" s="2">
        <v>0</v>
      </c>
      <c r="R22" s="2">
        <v>0.4</v>
      </c>
      <c r="S22" s="2">
        <v>0</v>
      </c>
      <c r="T22" s="2">
        <v>0</v>
      </c>
    </row>
    <row r="23" spans="1:20" s="24" customFormat="1" x14ac:dyDescent="0.35">
      <c r="A23" s="24" t="s">
        <v>516</v>
      </c>
      <c r="B23" s="24" t="s">
        <v>645</v>
      </c>
      <c r="C23" s="24">
        <v>0.8</v>
      </c>
      <c r="D23" s="24">
        <v>1.1999999999999999E-3</v>
      </c>
      <c r="E23" s="24">
        <v>4</v>
      </c>
      <c r="F23" s="24">
        <v>0</v>
      </c>
      <c r="G23" s="24">
        <v>0</v>
      </c>
      <c r="H23" s="24">
        <v>0</v>
      </c>
      <c r="I23" s="24">
        <v>0</v>
      </c>
      <c r="J23" s="24">
        <v>0.8</v>
      </c>
      <c r="K23" s="24">
        <v>0</v>
      </c>
      <c r="L23" s="24">
        <v>0</v>
      </c>
      <c r="M23" s="24">
        <v>0</v>
      </c>
      <c r="N23" s="24">
        <v>0</v>
      </c>
      <c r="O23" s="24">
        <v>1</v>
      </c>
      <c r="P23" s="24">
        <v>0</v>
      </c>
      <c r="Q23" s="24">
        <v>0</v>
      </c>
      <c r="R23" s="24">
        <v>0</v>
      </c>
      <c r="S23" s="24">
        <v>0</v>
      </c>
      <c r="T23" s="24">
        <v>0.8</v>
      </c>
    </row>
    <row r="24" spans="1:20" x14ac:dyDescent="0.35">
      <c r="A24" s="2" t="s">
        <v>510</v>
      </c>
      <c r="B24" s="2" t="s">
        <v>643</v>
      </c>
      <c r="C24" s="2">
        <v>0.2</v>
      </c>
      <c r="D24" s="2">
        <v>1</v>
      </c>
      <c r="E24" s="2">
        <v>1</v>
      </c>
      <c r="F24" s="2">
        <v>0</v>
      </c>
      <c r="G24" s="2">
        <v>0</v>
      </c>
      <c r="H24" s="2">
        <v>0.2</v>
      </c>
      <c r="I24" s="2">
        <v>0</v>
      </c>
      <c r="J24" s="2">
        <v>0</v>
      </c>
      <c r="K24" s="2">
        <v>0</v>
      </c>
      <c r="L24" s="2">
        <v>0</v>
      </c>
      <c r="M24" s="2">
        <v>1</v>
      </c>
      <c r="N24" s="2">
        <v>0</v>
      </c>
      <c r="O24" s="2">
        <v>0</v>
      </c>
      <c r="P24" s="2">
        <v>0</v>
      </c>
      <c r="Q24" s="2">
        <v>0</v>
      </c>
      <c r="R24" s="2">
        <v>0.2</v>
      </c>
      <c r="S24" s="2">
        <v>0</v>
      </c>
      <c r="T24" s="2">
        <v>0</v>
      </c>
    </row>
    <row r="25" spans="1:20" x14ac:dyDescent="0.35">
      <c r="A25" s="2" t="s">
        <v>517</v>
      </c>
      <c r="B25" s="2" t="s">
        <v>645</v>
      </c>
      <c r="C25" s="2">
        <v>0.4</v>
      </c>
      <c r="D25" s="2">
        <v>0.17030000000000001</v>
      </c>
      <c r="E25" s="2">
        <v>2</v>
      </c>
      <c r="F25" s="2">
        <v>0</v>
      </c>
      <c r="G25" s="2">
        <v>0</v>
      </c>
      <c r="H25" s="2">
        <v>0</v>
      </c>
      <c r="I25" s="2">
        <v>0</v>
      </c>
      <c r="J25" s="2">
        <v>0.4</v>
      </c>
      <c r="K25" s="2">
        <v>0</v>
      </c>
      <c r="L25" s="2">
        <v>0</v>
      </c>
      <c r="M25" s="2">
        <v>0</v>
      </c>
      <c r="N25" s="2">
        <v>0</v>
      </c>
      <c r="O25" s="2">
        <v>1</v>
      </c>
      <c r="P25" s="2">
        <v>0</v>
      </c>
      <c r="Q25" s="2">
        <v>0</v>
      </c>
      <c r="R25" s="2">
        <v>0</v>
      </c>
      <c r="S25" s="2">
        <v>0</v>
      </c>
      <c r="T25" s="2">
        <v>0.4</v>
      </c>
    </row>
    <row r="26" spans="1:20" s="24" customFormat="1" x14ac:dyDescent="0.35">
      <c r="A26" s="24" t="s">
        <v>538</v>
      </c>
      <c r="B26" s="24" t="s">
        <v>213</v>
      </c>
      <c r="C26" s="24">
        <v>0.88369441299999996</v>
      </c>
      <c r="D26" s="26">
        <v>2.0000000000000001E-4</v>
      </c>
      <c r="E26" s="24">
        <v>10</v>
      </c>
      <c r="F26" s="24">
        <v>1</v>
      </c>
      <c r="G26" s="24">
        <v>0.4</v>
      </c>
      <c r="H26" s="24">
        <v>0.4</v>
      </c>
      <c r="I26" s="24">
        <v>0.2</v>
      </c>
      <c r="J26" s="24">
        <v>0</v>
      </c>
      <c r="K26" s="24">
        <v>0.88369441299999996</v>
      </c>
      <c r="L26" s="24">
        <v>5.7012542999999999E-2</v>
      </c>
      <c r="M26" s="24">
        <v>3.6488026999999999E-2</v>
      </c>
      <c r="N26" s="24">
        <v>2.2805017E-2</v>
      </c>
      <c r="O26" s="24">
        <v>0</v>
      </c>
      <c r="P26" s="24">
        <v>0.88369441299999996</v>
      </c>
      <c r="Q26" s="24">
        <v>2.2805017E-2</v>
      </c>
      <c r="R26" s="24">
        <v>1.4595211E-2</v>
      </c>
      <c r="S26" s="24">
        <v>4.5610030000000001E-3</v>
      </c>
      <c r="T26" s="24">
        <v>0</v>
      </c>
    </row>
    <row r="27" spans="1:20" x14ac:dyDescent="0.35">
      <c r="A27" s="2" t="s">
        <v>511</v>
      </c>
      <c r="B27" s="2" t="s">
        <v>643</v>
      </c>
      <c r="C27" s="2">
        <v>0.2</v>
      </c>
      <c r="D27" s="2">
        <v>1</v>
      </c>
      <c r="E27" s="2">
        <v>1</v>
      </c>
      <c r="F27" s="2">
        <v>0</v>
      </c>
      <c r="G27" s="2">
        <v>0</v>
      </c>
      <c r="H27" s="2">
        <v>0.2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  <c r="N27" s="2">
        <v>0</v>
      </c>
      <c r="O27" s="2">
        <v>0</v>
      </c>
      <c r="P27" s="2">
        <v>0</v>
      </c>
      <c r="Q27" s="2">
        <v>0</v>
      </c>
      <c r="R27" s="2">
        <v>0.2</v>
      </c>
      <c r="S27" s="2">
        <v>0</v>
      </c>
      <c r="T27" s="2">
        <v>0</v>
      </c>
    </row>
    <row r="28" spans="1:20" s="24" customFormat="1" x14ac:dyDescent="0.35">
      <c r="A28" s="24" t="s">
        <v>503</v>
      </c>
      <c r="B28" s="24" t="s">
        <v>642</v>
      </c>
      <c r="C28" s="24">
        <v>0.6</v>
      </c>
      <c r="D28" s="24">
        <v>2.1600000000000001E-2</v>
      </c>
      <c r="E28" s="24">
        <v>3</v>
      </c>
      <c r="F28" s="24">
        <v>0</v>
      </c>
      <c r="G28" s="24">
        <v>0.6</v>
      </c>
      <c r="H28" s="24">
        <v>0</v>
      </c>
      <c r="I28" s="24">
        <v>0</v>
      </c>
      <c r="J28" s="24">
        <v>0</v>
      </c>
      <c r="K28" s="24">
        <v>0</v>
      </c>
      <c r="L28" s="24">
        <v>1</v>
      </c>
      <c r="M28" s="24">
        <v>0</v>
      </c>
      <c r="N28" s="24">
        <v>0</v>
      </c>
      <c r="O28" s="24">
        <v>0</v>
      </c>
      <c r="P28" s="24">
        <v>0</v>
      </c>
      <c r="Q28" s="24">
        <v>0.6</v>
      </c>
      <c r="R28" s="24">
        <v>0</v>
      </c>
      <c r="S28" s="24">
        <v>0</v>
      </c>
      <c r="T28" s="24">
        <v>0</v>
      </c>
    </row>
    <row r="29" spans="1:20" x14ac:dyDescent="0.35">
      <c r="A29" s="2" t="s">
        <v>504</v>
      </c>
      <c r="B29" s="2" t="s">
        <v>642</v>
      </c>
      <c r="C29" s="2">
        <v>0.2</v>
      </c>
      <c r="D29" s="2">
        <v>1</v>
      </c>
      <c r="E29" s="2">
        <v>1</v>
      </c>
      <c r="F29" s="2">
        <v>0</v>
      </c>
      <c r="G29" s="2">
        <v>0.2</v>
      </c>
      <c r="H29" s="2">
        <v>0</v>
      </c>
      <c r="I29" s="2">
        <v>0</v>
      </c>
      <c r="J29" s="2">
        <v>0</v>
      </c>
      <c r="K29" s="2">
        <v>0</v>
      </c>
      <c r="L29" s="2">
        <v>1</v>
      </c>
      <c r="M29" s="2">
        <v>0</v>
      </c>
      <c r="N29" s="2">
        <v>0</v>
      </c>
      <c r="O29" s="2">
        <v>0</v>
      </c>
      <c r="P29" s="2">
        <v>0</v>
      </c>
      <c r="Q29" s="2">
        <v>0.2</v>
      </c>
      <c r="R29" s="2">
        <v>0</v>
      </c>
      <c r="S29" s="2">
        <v>0</v>
      </c>
      <c r="T29" s="2">
        <v>0</v>
      </c>
    </row>
    <row r="30" spans="1:20" x14ac:dyDescent="0.35">
      <c r="A30" s="2" t="s">
        <v>518</v>
      </c>
      <c r="B30" s="2" t="s">
        <v>645</v>
      </c>
      <c r="C30" s="2">
        <v>0.2</v>
      </c>
      <c r="D30" s="2">
        <v>1</v>
      </c>
      <c r="E30" s="2">
        <v>1</v>
      </c>
      <c r="F30" s="2">
        <v>0</v>
      </c>
      <c r="G30" s="2">
        <v>0</v>
      </c>
      <c r="H30" s="2">
        <v>0</v>
      </c>
      <c r="I30" s="2">
        <v>0</v>
      </c>
      <c r="J30" s="2">
        <v>0.2</v>
      </c>
      <c r="K30" s="2">
        <v>0</v>
      </c>
      <c r="L30" s="2">
        <v>0</v>
      </c>
      <c r="M30" s="2">
        <v>0</v>
      </c>
      <c r="N30" s="2">
        <v>0</v>
      </c>
      <c r="O30" s="2">
        <v>1</v>
      </c>
      <c r="P30" s="2">
        <v>0</v>
      </c>
      <c r="Q30" s="2">
        <v>0</v>
      </c>
      <c r="R30" s="2">
        <v>0</v>
      </c>
      <c r="S30" s="2">
        <v>0</v>
      </c>
      <c r="T30" s="2">
        <v>0.2</v>
      </c>
    </row>
    <row r="31" spans="1:20" x14ac:dyDescent="0.35">
      <c r="A31" s="2" t="s">
        <v>539</v>
      </c>
      <c r="B31" s="2" t="s">
        <v>645</v>
      </c>
      <c r="C31" s="2">
        <v>0.16666666699999999</v>
      </c>
      <c r="D31" s="2">
        <v>1</v>
      </c>
      <c r="E31" s="2">
        <v>3</v>
      </c>
      <c r="F31" s="2">
        <v>0</v>
      </c>
      <c r="G31" s="2">
        <v>0</v>
      </c>
      <c r="H31" s="2">
        <v>0</v>
      </c>
      <c r="I31" s="2">
        <v>0.4</v>
      </c>
      <c r="J31" s="2">
        <v>0.2</v>
      </c>
      <c r="K31" s="2">
        <v>0</v>
      </c>
      <c r="L31" s="2">
        <v>0</v>
      </c>
      <c r="M31" s="2">
        <v>0</v>
      </c>
      <c r="N31" s="2">
        <v>0.16666666699999999</v>
      </c>
      <c r="O31" s="2">
        <v>0.83333333300000001</v>
      </c>
      <c r="P31" s="2">
        <v>0</v>
      </c>
      <c r="Q31" s="2">
        <v>0</v>
      </c>
      <c r="R31" s="2">
        <v>0</v>
      </c>
      <c r="S31" s="2">
        <v>6.6666666999999999E-2</v>
      </c>
      <c r="T31" s="2">
        <v>0.16666666699999999</v>
      </c>
    </row>
    <row r="32" spans="1:20" x14ac:dyDescent="0.35">
      <c r="A32" s="2" t="s">
        <v>540</v>
      </c>
      <c r="B32" s="2" t="s">
        <v>645</v>
      </c>
      <c r="C32" s="2">
        <v>0.38400000000000001</v>
      </c>
      <c r="D32" s="2">
        <v>9.9199999999999997E-2</v>
      </c>
      <c r="E32" s="2">
        <v>5</v>
      </c>
      <c r="F32" s="2">
        <v>0</v>
      </c>
      <c r="G32" s="2">
        <v>0</v>
      </c>
      <c r="H32" s="2">
        <v>0.4</v>
      </c>
      <c r="I32" s="2">
        <v>0</v>
      </c>
      <c r="J32" s="2">
        <v>0.6</v>
      </c>
      <c r="K32" s="2">
        <v>0</v>
      </c>
      <c r="L32" s="2">
        <v>0</v>
      </c>
      <c r="M32" s="2">
        <v>0.36</v>
      </c>
      <c r="N32" s="2">
        <v>0</v>
      </c>
      <c r="O32" s="2">
        <v>0.64</v>
      </c>
      <c r="P32" s="2">
        <v>0</v>
      </c>
      <c r="Q32" s="2">
        <v>0</v>
      </c>
      <c r="R32" s="2">
        <v>0.14399999999999999</v>
      </c>
      <c r="S32" s="2">
        <v>0</v>
      </c>
      <c r="T32" s="2">
        <v>0.38400000000000001</v>
      </c>
    </row>
    <row r="33" spans="1:20" x14ac:dyDescent="0.35">
      <c r="A33" s="2" t="s">
        <v>512</v>
      </c>
      <c r="B33" s="2" t="s">
        <v>643</v>
      </c>
      <c r="C33" s="2">
        <v>0.4</v>
      </c>
      <c r="D33" s="2">
        <v>0.16800000000000001</v>
      </c>
      <c r="E33" s="2">
        <v>2</v>
      </c>
      <c r="F33" s="2">
        <v>0</v>
      </c>
      <c r="G33" s="2">
        <v>0</v>
      </c>
      <c r="H33" s="2">
        <v>0.4</v>
      </c>
      <c r="I33" s="2">
        <v>0</v>
      </c>
      <c r="J33" s="2">
        <v>0</v>
      </c>
      <c r="K33" s="2">
        <v>0</v>
      </c>
      <c r="L33" s="2">
        <v>0</v>
      </c>
      <c r="M33" s="2">
        <v>1</v>
      </c>
      <c r="N33" s="2">
        <v>0</v>
      </c>
      <c r="O33" s="2">
        <v>0</v>
      </c>
      <c r="P33" s="2">
        <v>0</v>
      </c>
      <c r="Q33" s="2">
        <v>0</v>
      </c>
      <c r="R33" s="2">
        <v>0.4</v>
      </c>
      <c r="S33" s="2">
        <v>0</v>
      </c>
      <c r="T33" s="2">
        <v>0</v>
      </c>
    </row>
    <row r="34" spans="1:20" x14ac:dyDescent="0.35">
      <c r="A34" s="2" t="s">
        <v>505</v>
      </c>
      <c r="B34" s="2" t="s">
        <v>642</v>
      </c>
      <c r="C34" s="2">
        <v>0.4</v>
      </c>
      <c r="D34" s="2">
        <v>0.1671</v>
      </c>
      <c r="E34" s="2">
        <v>2</v>
      </c>
      <c r="F34" s="2">
        <v>0</v>
      </c>
      <c r="G34" s="2">
        <v>0.4</v>
      </c>
      <c r="H34" s="2">
        <v>0</v>
      </c>
      <c r="I34" s="2">
        <v>0</v>
      </c>
      <c r="J34" s="2">
        <v>0</v>
      </c>
      <c r="K34" s="2">
        <v>0</v>
      </c>
      <c r="L34" s="2">
        <v>1</v>
      </c>
      <c r="M34" s="2">
        <v>0</v>
      </c>
      <c r="N34" s="2">
        <v>0</v>
      </c>
      <c r="O34" s="2">
        <v>0</v>
      </c>
      <c r="P34" s="2">
        <v>0</v>
      </c>
      <c r="Q34" s="2">
        <v>0.4</v>
      </c>
      <c r="R34" s="2">
        <v>0</v>
      </c>
      <c r="S34" s="2">
        <v>0</v>
      </c>
      <c r="T34" s="2">
        <v>0</v>
      </c>
    </row>
    <row r="35" spans="1:20" s="24" customFormat="1" x14ac:dyDescent="0.35">
      <c r="A35" s="24" t="s">
        <v>542</v>
      </c>
      <c r="B35" s="24" t="s">
        <v>645</v>
      </c>
      <c r="C35" s="24">
        <v>0.32298136599999999</v>
      </c>
      <c r="D35" s="24">
        <v>4.1599999999999998E-2</v>
      </c>
      <c r="E35" s="24">
        <v>21</v>
      </c>
      <c r="F35" s="24">
        <v>0.4</v>
      </c>
      <c r="G35" s="24">
        <v>1</v>
      </c>
      <c r="H35" s="24">
        <v>0.8</v>
      </c>
      <c r="I35" s="24">
        <v>1</v>
      </c>
      <c r="J35" s="24">
        <v>1</v>
      </c>
      <c r="K35" s="24">
        <v>4.7619047999999997E-2</v>
      </c>
      <c r="L35" s="24">
        <v>0.18426501000000001</v>
      </c>
      <c r="M35" s="24">
        <v>0.198757764</v>
      </c>
      <c r="N35" s="24">
        <v>0.246376812</v>
      </c>
      <c r="O35" s="24">
        <v>0.32298136599999999</v>
      </c>
      <c r="P35" s="24">
        <v>1.9047618999999998E-2</v>
      </c>
      <c r="Q35" s="24">
        <v>0.18426501000000001</v>
      </c>
      <c r="R35" s="24">
        <v>0.15900621100000001</v>
      </c>
      <c r="S35" s="24">
        <v>0.246376812</v>
      </c>
      <c r="T35" s="24">
        <v>0.32298136599999999</v>
      </c>
    </row>
    <row r="36" spans="1:20" x14ac:dyDescent="0.35">
      <c r="A36" s="2" t="s">
        <v>519</v>
      </c>
      <c r="B36" s="2" t="s">
        <v>645</v>
      </c>
      <c r="C36" s="2">
        <v>0.2</v>
      </c>
      <c r="D36" s="2">
        <v>1</v>
      </c>
      <c r="E36" s="2">
        <v>1</v>
      </c>
      <c r="F36" s="2">
        <v>0</v>
      </c>
      <c r="G36" s="2">
        <v>0</v>
      </c>
      <c r="H36" s="2">
        <v>0</v>
      </c>
      <c r="I36" s="2">
        <v>0</v>
      </c>
      <c r="J36" s="2">
        <v>0.2</v>
      </c>
      <c r="K36" s="2">
        <v>0</v>
      </c>
      <c r="L36" s="2">
        <v>0</v>
      </c>
      <c r="M36" s="2">
        <v>0</v>
      </c>
      <c r="N36" s="2">
        <v>0</v>
      </c>
      <c r="O36" s="2">
        <v>1</v>
      </c>
      <c r="P36" s="2">
        <v>0</v>
      </c>
      <c r="Q36" s="2">
        <v>0</v>
      </c>
      <c r="R36" s="2">
        <v>0</v>
      </c>
      <c r="S36" s="2">
        <v>0</v>
      </c>
      <c r="T36" s="2">
        <v>0.2</v>
      </c>
    </row>
    <row r="37" spans="1:20" s="24" customFormat="1" x14ac:dyDescent="0.35">
      <c r="A37" s="24" t="s">
        <v>544</v>
      </c>
      <c r="B37" s="24" t="s">
        <v>213</v>
      </c>
      <c r="C37" s="24">
        <v>0.45376344099999999</v>
      </c>
      <c r="D37" s="24">
        <v>3.2000000000000002E-3</v>
      </c>
      <c r="E37" s="24">
        <v>19</v>
      </c>
      <c r="F37" s="24">
        <v>1</v>
      </c>
      <c r="G37" s="24">
        <v>1</v>
      </c>
      <c r="H37" s="24">
        <v>0.6</v>
      </c>
      <c r="I37" s="24">
        <v>0.4</v>
      </c>
      <c r="J37" s="24">
        <v>0.8</v>
      </c>
      <c r="K37" s="24">
        <v>0.45376344099999999</v>
      </c>
      <c r="L37" s="24">
        <v>0.30107526899999998</v>
      </c>
      <c r="M37" s="24">
        <v>5.5913978000000003E-2</v>
      </c>
      <c r="N37" s="24">
        <v>0.107526882</v>
      </c>
      <c r="O37" s="24">
        <v>8.1720429999999997E-2</v>
      </c>
      <c r="P37" s="24">
        <v>0.45376344099999999</v>
      </c>
      <c r="Q37" s="24">
        <v>0.30107526899999998</v>
      </c>
      <c r="R37" s="24">
        <v>3.3548386999999999E-2</v>
      </c>
      <c r="S37" s="24">
        <v>4.3010752999999999E-2</v>
      </c>
      <c r="T37" s="24">
        <v>6.5376344000000003E-2</v>
      </c>
    </row>
    <row r="38" spans="1:20" x14ac:dyDescent="0.35">
      <c r="A38" s="2" t="s">
        <v>545</v>
      </c>
      <c r="B38" s="2" t="s">
        <v>213</v>
      </c>
      <c r="C38" s="2">
        <v>0.222222222</v>
      </c>
      <c r="D38" s="2">
        <v>0.46010000000000001</v>
      </c>
      <c r="E38" s="2">
        <v>3</v>
      </c>
      <c r="F38" s="2">
        <v>0.4</v>
      </c>
      <c r="G38" s="2">
        <v>0.2</v>
      </c>
      <c r="H38" s="2">
        <v>0</v>
      </c>
      <c r="I38" s="2">
        <v>0</v>
      </c>
      <c r="J38" s="2">
        <v>0</v>
      </c>
      <c r="K38" s="2">
        <v>0.55555555599999995</v>
      </c>
      <c r="L38" s="2">
        <v>0.44444444399999999</v>
      </c>
      <c r="M38" s="2">
        <v>0</v>
      </c>
      <c r="N38" s="2">
        <v>0</v>
      </c>
      <c r="O38" s="2">
        <v>0</v>
      </c>
      <c r="P38" s="2">
        <v>0.222222222</v>
      </c>
      <c r="Q38" s="2">
        <v>8.8888888999999999E-2</v>
      </c>
      <c r="R38" s="2">
        <v>0</v>
      </c>
      <c r="S38" s="2">
        <v>0</v>
      </c>
      <c r="T38" s="2">
        <v>0</v>
      </c>
    </row>
    <row r="39" spans="1:20" x14ac:dyDescent="0.35">
      <c r="A39" s="2" t="s">
        <v>546</v>
      </c>
      <c r="B39" s="2" t="s">
        <v>645</v>
      </c>
      <c r="C39" s="2">
        <v>0.368421053</v>
      </c>
      <c r="D39" s="2">
        <v>0.11700000000000001</v>
      </c>
      <c r="E39" s="2">
        <v>6</v>
      </c>
      <c r="F39" s="2">
        <v>0</v>
      </c>
      <c r="G39" s="2">
        <v>0.4</v>
      </c>
      <c r="H39" s="2">
        <v>0.2</v>
      </c>
      <c r="I39" s="2">
        <v>0</v>
      </c>
      <c r="J39" s="2">
        <v>0.6</v>
      </c>
      <c r="K39" s="2">
        <v>0</v>
      </c>
      <c r="L39" s="2">
        <v>3.5087719000000003E-2</v>
      </c>
      <c r="M39" s="2">
        <v>0.35087719299999998</v>
      </c>
      <c r="N39" s="2">
        <v>0</v>
      </c>
      <c r="O39" s="2">
        <v>0.61403508799999995</v>
      </c>
      <c r="P39" s="2">
        <v>0</v>
      </c>
      <c r="Q39" s="2">
        <v>1.4035087999999999E-2</v>
      </c>
      <c r="R39" s="2">
        <v>7.0175439000000006E-2</v>
      </c>
      <c r="S39" s="2">
        <v>0</v>
      </c>
      <c r="T39" s="2">
        <v>0.368421053</v>
      </c>
    </row>
    <row r="40" spans="1:20" x14ac:dyDescent="0.35">
      <c r="A40" s="2" t="s">
        <v>520</v>
      </c>
      <c r="B40" s="2" t="s">
        <v>645</v>
      </c>
      <c r="C40" s="2">
        <v>0.2</v>
      </c>
      <c r="D40" s="2">
        <v>1</v>
      </c>
      <c r="E40" s="2">
        <v>1</v>
      </c>
      <c r="F40" s="2">
        <v>0</v>
      </c>
      <c r="G40" s="2">
        <v>0</v>
      </c>
      <c r="H40" s="2">
        <v>0</v>
      </c>
      <c r="I40" s="2">
        <v>0</v>
      </c>
      <c r="J40" s="2">
        <v>0.2</v>
      </c>
      <c r="K40" s="2">
        <v>0</v>
      </c>
      <c r="L40" s="2">
        <v>0</v>
      </c>
      <c r="M40" s="2">
        <v>0</v>
      </c>
      <c r="N40" s="2">
        <v>0</v>
      </c>
      <c r="O40" s="2">
        <v>1</v>
      </c>
      <c r="P40" s="2">
        <v>0</v>
      </c>
      <c r="Q40" s="2">
        <v>0</v>
      </c>
      <c r="R40" s="2">
        <v>0</v>
      </c>
      <c r="S40" s="2">
        <v>0</v>
      </c>
      <c r="T40" s="2">
        <v>0.2</v>
      </c>
    </row>
    <row r="41" spans="1:20" s="24" customFormat="1" x14ac:dyDescent="0.35">
      <c r="A41" s="24" t="s">
        <v>515</v>
      </c>
      <c r="B41" s="24" t="s">
        <v>644</v>
      </c>
      <c r="C41" s="24">
        <v>0.6</v>
      </c>
      <c r="D41" s="24">
        <v>2.24E-2</v>
      </c>
      <c r="E41" s="24">
        <v>3</v>
      </c>
      <c r="F41" s="24">
        <v>0</v>
      </c>
      <c r="G41" s="24">
        <v>0</v>
      </c>
      <c r="H41" s="24">
        <v>0</v>
      </c>
      <c r="I41" s="24">
        <v>0.6</v>
      </c>
      <c r="J41" s="24">
        <v>0</v>
      </c>
      <c r="K41" s="24">
        <v>0</v>
      </c>
      <c r="L41" s="24">
        <v>0</v>
      </c>
      <c r="M41" s="24">
        <v>0</v>
      </c>
      <c r="N41" s="24">
        <v>1</v>
      </c>
      <c r="O41" s="24">
        <v>0</v>
      </c>
      <c r="P41" s="24">
        <v>0</v>
      </c>
      <c r="Q41" s="24">
        <v>0</v>
      </c>
      <c r="R41" s="24">
        <v>0</v>
      </c>
      <c r="S41" s="24">
        <v>0.6</v>
      </c>
      <c r="T41" s="24">
        <v>0</v>
      </c>
    </row>
    <row r="42" spans="1:20" s="24" customFormat="1" x14ac:dyDescent="0.35">
      <c r="A42" s="24" t="s">
        <v>548</v>
      </c>
      <c r="B42" s="24" t="s">
        <v>643</v>
      </c>
      <c r="C42" s="24">
        <v>0.57977528099999998</v>
      </c>
      <c r="D42" s="24">
        <v>2.3E-2</v>
      </c>
      <c r="E42" s="24">
        <v>4</v>
      </c>
      <c r="F42" s="24">
        <v>0</v>
      </c>
      <c r="G42" s="24">
        <v>0</v>
      </c>
      <c r="H42" s="24">
        <v>0.6</v>
      </c>
      <c r="I42" s="24">
        <v>0.2</v>
      </c>
      <c r="J42" s="24">
        <v>0</v>
      </c>
      <c r="K42" s="24">
        <v>0</v>
      </c>
      <c r="L42" s="24">
        <v>0</v>
      </c>
      <c r="M42" s="24">
        <v>0.966292135</v>
      </c>
      <c r="N42" s="24">
        <v>3.3707864999999997E-2</v>
      </c>
      <c r="O42" s="24">
        <v>0</v>
      </c>
      <c r="P42" s="24">
        <v>0</v>
      </c>
      <c r="Q42" s="24">
        <v>0</v>
      </c>
      <c r="R42" s="24">
        <v>0.57977528099999998</v>
      </c>
      <c r="S42" s="24">
        <v>6.7415729999999998E-3</v>
      </c>
      <c r="T42" s="24">
        <v>0</v>
      </c>
    </row>
    <row r="43" spans="1:20" x14ac:dyDescent="0.35">
      <c r="A43" s="2" t="s">
        <v>549</v>
      </c>
      <c r="B43" s="2" t="s">
        <v>642</v>
      </c>
      <c r="C43" s="2">
        <v>0.114285714</v>
      </c>
      <c r="D43" s="2">
        <v>0.75139999999999996</v>
      </c>
      <c r="E43" s="2">
        <v>4</v>
      </c>
      <c r="F43" s="2">
        <v>0.2</v>
      </c>
      <c r="G43" s="2">
        <v>0.4</v>
      </c>
      <c r="H43" s="2">
        <v>0.2</v>
      </c>
      <c r="I43" s="2">
        <v>0</v>
      </c>
      <c r="J43" s="2">
        <v>0</v>
      </c>
      <c r="K43" s="2">
        <v>0.21428571399999999</v>
      </c>
      <c r="L43" s="2">
        <v>0.28571428599999998</v>
      </c>
      <c r="M43" s="2">
        <v>0.5</v>
      </c>
      <c r="N43" s="2">
        <v>0</v>
      </c>
      <c r="O43" s="2">
        <v>0</v>
      </c>
      <c r="P43" s="2">
        <v>4.2857143E-2</v>
      </c>
      <c r="Q43" s="2">
        <v>0.114285714</v>
      </c>
      <c r="R43" s="2">
        <v>0.1</v>
      </c>
      <c r="S43" s="2">
        <v>0</v>
      </c>
      <c r="T43" s="2">
        <v>0</v>
      </c>
    </row>
    <row r="44" spans="1:20" x14ac:dyDescent="0.35">
      <c r="A44" s="2" t="s">
        <v>506</v>
      </c>
      <c r="B44" s="2" t="s">
        <v>642</v>
      </c>
      <c r="C44" s="2">
        <v>0.2</v>
      </c>
      <c r="D44" s="2">
        <v>1</v>
      </c>
      <c r="E44" s="2">
        <v>1</v>
      </c>
      <c r="F44" s="2">
        <v>0</v>
      </c>
      <c r="G44" s="2">
        <v>0.2</v>
      </c>
      <c r="H44" s="2">
        <v>0</v>
      </c>
      <c r="I44" s="2">
        <v>0</v>
      </c>
      <c r="J44" s="2">
        <v>0</v>
      </c>
      <c r="K44" s="2">
        <v>0</v>
      </c>
      <c r="L44" s="2">
        <v>1</v>
      </c>
      <c r="M44" s="2">
        <v>0</v>
      </c>
      <c r="N44" s="2">
        <v>0</v>
      </c>
      <c r="O44" s="2">
        <v>0</v>
      </c>
      <c r="P44" s="2">
        <v>0</v>
      </c>
      <c r="Q44" s="2">
        <v>0.2</v>
      </c>
      <c r="R44" s="2">
        <v>0</v>
      </c>
      <c r="S44" s="2">
        <v>0</v>
      </c>
      <c r="T44" s="2">
        <v>0</v>
      </c>
    </row>
    <row r="46" spans="1:20" x14ac:dyDescent="0.35">
      <c r="A46" s="1" t="s">
        <v>604</v>
      </c>
    </row>
    <row r="47" spans="1:20" x14ac:dyDescent="0.35">
      <c r="A47" s="2" t="s">
        <v>671</v>
      </c>
    </row>
    <row r="48" spans="1:20" x14ac:dyDescent="0.35">
      <c r="A48" s="2" t="s">
        <v>610</v>
      </c>
    </row>
    <row r="49" spans="1:2" x14ac:dyDescent="0.35">
      <c r="A49" s="2" t="s">
        <v>612</v>
      </c>
    </row>
    <row r="50" spans="1:2" x14ac:dyDescent="0.35">
      <c r="A50" s="2" t="s">
        <v>609</v>
      </c>
    </row>
    <row r="51" spans="1:2" x14ac:dyDescent="0.35">
      <c r="A51" s="2" t="s">
        <v>613</v>
      </c>
    </row>
    <row r="52" spans="1:2" x14ac:dyDescent="0.35">
      <c r="A52" s="2" t="s">
        <v>614</v>
      </c>
    </row>
    <row r="53" spans="1:2" x14ac:dyDescent="0.35">
      <c r="A53" s="2" t="s">
        <v>615</v>
      </c>
    </row>
    <row r="54" spans="1:2" x14ac:dyDescent="0.35">
      <c r="A54" s="2" t="s">
        <v>616</v>
      </c>
    </row>
    <row r="55" spans="1:2" x14ac:dyDescent="0.35">
      <c r="A55" s="2" t="s">
        <v>621</v>
      </c>
    </row>
    <row r="56" spans="1:2" x14ac:dyDescent="0.35">
      <c r="A56" s="2" t="s">
        <v>628</v>
      </c>
    </row>
    <row r="57" spans="1:2" x14ac:dyDescent="0.35">
      <c r="A57" s="2" t="s">
        <v>634</v>
      </c>
    </row>
    <row r="58" spans="1:2" x14ac:dyDescent="0.35">
      <c r="A58" s="2" t="s">
        <v>617</v>
      </c>
    </row>
    <row r="59" spans="1:2" x14ac:dyDescent="0.35">
      <c r="A59" s="2" t="s">
        <v>618</v>
      </c>
    </row>
    <row r="61" spans="1:2" x14ac:dyDescent="0.35">
      <c r="A61" s="1" t="s">
        <v>620</v>
      </c>
    </row>
    <row r="62" spans="1:2" x14ac:dyDescent="0.35">
      <c r="A62" s="2" t="s">
        <v>551</v>
      </c>
      <c r="B62" s="2" t="s">
        <v>650</v>
      </c>
    </row>
    <row r="63" spans="1:2" x14ac:dyDescent="0.35">
      <c r="A63" s="2" t="s">
        <v>552</v>
      </c>
      <c r="B63" s="2" t="s">
        <v>646</v>
      </c>
    </row>
    <row r="64" spans="1:2" x14ac:dyDescent="0.35">
      <c r="A64" s="2" t="s">
        <v>554</v>
      </c>
      <c r="B64" s="2" t="s">
        <v>649</v>
      </c>
    </row>
    <row r="65" spans="1:2" x14ac:dyDescent="0.35">
      <c r="A65" s="2" t="s">
        <v>553</v>
      </c>
      <c r="B65" s="2" t="s">
        <v>648</v>
      </c>
    </row>
    <row r="66" spans="1:2" x14ac:dyDescent="0.35">
      <c r="A66" s="2" t="s">
        <v>627</v>
      </c>
      <c r="B66" s="2" t="s">
        <v>651</v>
      </c>
    </row>
    <row r="67" spans="1:2" x14ac:dyDescent="0.35">
      <c r="A67" s="2" t="s">
        <v>636</v>
      </c>
      <c r="B67" s="2" t="s">
        <v>652</v>
      </c>
    </row>
    <row r="68" spans="1:2" x14ac:dyDescent="0.35">
      <c r="A68" s="2" t="s">
        <v>635</v>
      </c>
      <c r="B68" s="2" t="s">
        <v>647</v>
      </c>
    </row>
    <row r="70" spans="1:2" x14ac:dyDescent="0.35">
      <c r="A70" s="2" t="s">
        <v>656</v>
      </c>
    </row>
  </sheetData>
  <mergeCells count="4">
    <mergeCell ref="B2:E2"/>
    <mergeCell ref="F2:J2"/>
    <mergeCell ref="K2:O2"/>
    <mergeCell ref="P2:T2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3EB82-8919-4F56-B7D6-62A42BFC673C}">
  <dimension ref="A1:D57"/>
  <sheetViews>
    <sheetView topLeftCell="A28" zoomScale="85" zoomScaleNormal="85" workbookViewId="0">
      <selection activeCell="F59" sqref="F59"/>
    </sheetView>
  </sheetViews>
  <sheetFormatPr defaultColWidth="19.0703125" defaultRowHeight="14.15" x14ac:dyDescent="0.35"/>
  <cols>
    <col min="1" max="1" width="19.0703125" style="2"/>
    <col min="2" max="2" width="31" style="2" customWidth="1"/>
    <col min="3" max="3" width="19.0703125" style="2"/>
    <col min="4" max="4" width="14.78515625" style="2" customWidth="1"/>
    <col min="5" max="16384" width="19.0703125" style="2"/>
  </cols>
  <sheetData>
    <row r="1" spans="1:4" s="1" customFormat="1" x14ac:dyDescent="0.35">
      <c r="A1" s="1" t="s">
        <v>668</v>
      </c>
      <c r="B1" s="1" t="s">
        <v>663</v>
      </c>
      <c r="C1" s="1" t="s">
        <v>20</v>
      </c>
      <c r="D1" s="1" t="s">
        <v>664</v>
      </c>
    </row>
    <row r="2" spans="1:4" x14ac:dyDescent="0.35">
      <c r="A2" s="69" t="s">
        <v>658</v>
      </c>
      <c r="B2" s="2" t="s">
        <v>499</v>
      </c>
      <c r="C2" s="2" t="s">
        <v>15</v>
      </c>
      <c r="D2" s="58">
        <f>COUNTA(C2:C9)</f>
        <v>8</v>
      </c>
    </row>
    <row r="3" spans="1:4" x14ac:dyDescent="0.35">
      <c r="A3" s="69"/>
      <c r="B3" s="2" t="s">
        <v>500</v>
      </c>
      <c r="C3" s="2" t="s">
        <v>15</v>
      </c>
      <c r="D3" s="58"/>
    </row>
    <row r="4" spans="1:4" x14ac:dyDescent="0.35">
      <c r="A4" s="69"/>
      <c r="B4" s="2" t="s">
        <v>501</v>
      </c>
      <c r="C4" s="2" t="s">
        <v>15</v>
      </c>
      <c r="D4" s="58"/>
    </row>
    <row r="5" spans="1:4" x14ac:dyDescent="0.35">
      <c r="A5" s="69"/>
      <c r="B5" s="2" t="s">
        <v>502</v>
      </c>
      <c r="C5" s="2" t="s">
        <v>15</v>
      </c>
      <c r="D5" s="58"/>
    </row>
    <row r="6" spans="1:4" x14ac:dyDescent="0.35">
      <c r="A6" s="69"/>
      <c r="B6" s="2" t="s">
        <v>503</v>
      </c>
      <c r="C6" s="2" t="s">
        <v>15</v>
      </c>
      <c r="D6" s="58"/>
    </row>
    <row r="7" spans="1:4" x14ac:dyDescent="0.35">
      <c r="A7" s="69"/>
      <c r="B7" s="2" t="s">
        <v>661</v>
      </c>
      <c r="C7" s="2" t="s">
        <v>15</v>
      </c>
      <c r="D7" s="58"/>
    </row>
    <row r="8" spans="1:4" x14ac:dyDescent="0.35">
      <c r="A8" s="69"/>
      <c r="B8" s="2" t="s">
        <v>505</v>
      </c>
      <c r="C8" s="2" t="s">
        <v>15</v>
      </c>
      <c r="D8" s="58"/>
    </row>
    <row r="9" spans="1:4" x14ac:dyDescent="0.35">
      <c r="A9" s="69"/>
      <c r="B9" s="2" t="s">
        <v>506</v>
      </c>
      <c r="C9" s="2" t="s">
        <v>15</v>
      </c>
      <c r="D9" s="58"/>
    </row>
    <row r="10" spans="1:4" x14ac:dyDescent="0.35">
      <c r="A10" s="69"/>
      <c r="B10" s="2" t="s">
        <v>507</v>
      </c>
      <c r="C10" s="2" t="s">
        <v>16</v>
      </c>
      <c r="D10" s="58">
        <f>COUNTA(C10:C15)</f>
        <v>6</v>
      </c>
    </row>
    <row r="11" spans="1:4" x14ac:dyDescent="0.35">
      <c r="A11" s="69"/>
      <c r="B11" s="2" t="s">
        <v>508</v>
      </c>
      <c r="C11" s="2" t="s">
        <v>16</v>
      </c>
      <c r="D11" s="58"/>
    </row>
    <row r="12" spans="1:4" x14ac:dyDescent="0.35">
      <c r="A12" s="69"/>
      <c r="B12" s="2" t="s">
        <v>509</v>
      </c>
      <c r="C12" s="2" t="s">
        <v>16</v>
      </c>
      <c r="D12" s="58"/>
    </row>
    <row r="13" spans="1:4" x14ac:dyDescent="0.35">
      <c r="A13" s="69"/>
      <c r="B13" s="2" t="s">
        <v>510</v>
      </c>
      <c r="C13" s="2" t="s">
        <v>16</v>
      </c>
      <c r="D13" s="58"/>
    </row>
    <row r="14" spans="1:4" x14ac:dyDescent="0.35">
      <c r="A14" s="69"/>
      <c r="B14" s="2" t="s">
        <v>511</v>
      </c>
      <c r="C14" s="2" t="s">
        <v>16</v>
      </c>
      <c r="D14" s="58"/>
    </row>
    <row r="15" spans="1:4" x14ac:dyDescent="0.35">
      <c r="A15" s="69"/>
      <c r="B15" s="2" t="s">
        <v>512</v>
      </c>
      <c r="C15" s="2" t="s">
        <v>16</v>
      </c>
      <c r="D15" s="58"/>
    </row>
    <row r="16" spans="1:4" x14ac:dyDescent="0.35">
      <c r="A16" s="69"/>
      <c r="B16" s="2" t="s">
        <v>513</v>
      </c>
      <c r="C16" s="2" t="s">
        <v>17</v>
      </c>
      <c r="D16" s="58">
        <f>COUNTA(C16:C18)</f>
        <v>3</v>
      </c>
    </row>
    <row r="17" spans="1:4" x14ac:dyDescent="0.35">
      <c r="A17" s="69"/>
      <c r="B17" s="2" t="s">
        <v>514</v>
      </c>
      <c r="C17" s="2" t="s">
        <v>17</v>
      </c>
      <c r="D17" s="58"/>
    </row>
    <row r="18" spans="1:4" x14ac:dyDescent="0.35">
      <c r="A18" s="69"/>
      <c r="B18" s="2" t="s">
        <v>515</v>
      </c>
      <c r="C18" s="2" t="s">
        <v>17</v>
      </c>
      <c r="D18" s="58"/>
    </row>
    <row r="19" spans="1:4" x14ac:dyDescent="0.35">
      <c r="A19" s="69"/>
      <c r="B19" s="2" t="s">
        <v>516</v>
      </c>
      <c r="C19" s="2" t="s">
        <v>18</v>
      </c>
      <c r="D19" s="70">
        <f>COUNTA(C19:C23)</f>
        <v>5</v>
      </c>
    </row>
    <row r="20" spans="1:4" x14ac:dyDescent="0.35">
      <c r="A20" s="69"/>
      <c r="B20" s="2" t="s">
        <v>517</v>
      </c>
      <c r="C20" s="2" t="s">
        <v>18</v>
      </c>
      <c r="D20" s="70"/>
    </row>
    <row r="21" spans="1:4" x14ac:dyDescent="0.35">
      <c r="A21" s="69"/>
      <c r="B21" s="2" t="s">
        <v>518</v>
      </c>
      <c r="C21" s="2" t="s">
        <v>18</v>
      </c>
      <c r="D21" s="70"/>
    </row>
    <row r="22" spans="1:4" x14ac:dyDescent="0.35">
      <c r="A22" s="69"/>
      <c r="B22" s="2" t="s">
        <v>519</v>
      </c>
      <c r="C22" s="2" t="s">
        <v>18</v>
      </c>
      <c r="D22" s="70"/>
    </row>
    <row r="23" spans="1:4" x14ac:dyDescent="0.35">
      <c r="A23" s="69"/>
      <c r="B23" s="2" t="s">
        <v>520</v>
      </c>
      <c r="C23" s="2" t="s">
        <v>18</v>
      </c>
      <c r="D23" s="70"/>
    </row>
    <row r="24" spans="1:4" x14ac:dyDescent="0.35">
      <c r="A24" s="71" t="s">
        <v>659</v>
      </c>
      <c r="B24" s="2" t="s">
        <v>528</v>
      </c>
      <c r="C24" s="2" t="s">
        <v>529</v>
      </c>
      <c r="D24" s="58">
        <f>COUNTA(C24:C33)</f>
        <v>10</v>
      </c>
    </row>
    <row r="25" spans="1:4" x14ac:dyDescent="0.35">
      <c r="A25" s="71"/>
      <c r="B25" s="2" t="s">
        <v>545</v>
      </c>
      <c r="C25" s="2" t="s">
        <v>529</v>
      </c>
      <c r="D25" s="58"/>
    </row>
    <row r="26" spans="1:4" ht="14.15" customHeight="1" x14ac:dyDescent="0.35">
      <c r="A26" s="71"/>
      <c r="B26" s="2" t="s">
        <v>525</v>
      </c>
      <c r="C26" s="2" t="s">
        <v>526</v>
      </c>
      <c r="D26" s="58"/>
    </row>
    <row r="27" spans="1:4" x14ac:dyDescent="0.35">
      <c r="A27" s="71"/>
      <c r="B27" s="2" t="s">
        <v>527</v>
      </c>
      <c r="C27" s="2" t="s">
        <v>526</v>
      </c>
      <c r="D27" s="58"/>
    </row>
    <row r="28" spans="1:4" x14ac:dyDescent="0.35">
      <c r="A28" s="71"/>
      <c r="B28" s="2" t="s">
        <v>536</v>
      </c>
      <c r="C28" s="2" t="s">
        <v>537</v>
      </c>
      <c r="D28" s="58"/>
    </row>
    <row r="29" spans="1:4" x14ac:dyDescent="0.35">
      <c r="A29" s="71"/>
      <c r="B29" s="2" t="s">
        <v>548</v>
      </c>
      <c r="C29" s="2" t="s">
        <v>537</v>
      </c>
      <c r="D29" s="58"/>
    </row>
    <row r="30" spans="1:4" x14ac:dyDescent="0.35">
      <c r="A30" s="71"/>
      <c r="B30" s="2" t="s">
        <v>539</v>
      </c>
      <c r="C30" s="2" t="s">
        <v>533</v>
      </c>
      <c r="D30" s="58"/>
    </row>
    <row r="31" spans="1:4" x14ac:dyDescent="0.35">
      <c r="A31" s="71"/>
      <c r="B31" s="2" t="s">
        <v>532</v>
      </c>
      <c r="C31" s="2" t="s">
        <v>533</v>
      </c>
      <c r="D31" s="58"/>
    </row>
    <row r="32" spans="1:4" x14ac:dyDescent="0.35">
      <c r="A32" s="71"/>
      <c r="B32" s="2" t="s">
        <v>534</v>
      </c>
      <c r="C32" s="2" t="s">
        <v>535</v>
      </c>
      <c r="D32" s="58"/>
    </row>
    <row r="33" spans="1:4" x14ac:dyDescent="0.35">
      <c r="A33" s="71"/>
      <c r="B33" s="2" t="s">
        <v>540</v>
      </c>
      <c r="C33" s="2" t="s">
        <v>541</v>
      </c>
      <c r="D33" s="58"/>
    </row>
    <row r="34" spans="1:4" x14ac:dyDescent="0.35">
      <c r="A34" s="71"/>
      <c r="B34" s="2" t="s">
        <v>521</v>
      </c>
      <c r="C34" s="2" t="s">
        <v>522</v>
      </c>
      <c r="D34" s="58">
        <f>COUNTA(C34:C37)</f>
        <v>4</v>
      </c>
    </row>
    <row r="35" spans="1:4" x14ac:dyDescent="0.35">
      <c r="A35" s="71"/>
      <c r="B35" s="2" t="s">
        <v>531</v>
      </c>
      <c r="C35" s="2" t="s">
        <v>522</v>
      </c>
      <c r="D35" s="58"/>
    </row>
    <row r="36" spans="1:4" x14ac:dyDescent="0.35">
      <c r="A36" s="71"/>
      <c r="B36" s="2" t="s">
        <v>546</v>
      </c>
      <c r="C36" s="2" t="s">
        <v>547</v>
      </c>
      <c r="D36" s="58"/>
    </row>
    <row r="37" spans="1:4" x14ac:dyDescent="0.35">
      <c r="A37" s="71"/>
      <c r="B37" s="2" t="s">
        <v>549</v>
      </c>
      <c r="C37" s="2" t="s">
        <v>550</v>
      </c>
      <c r="D37" s="58"/>
    </row>
    <row r="38" spans="1:4" x14ac:dyDescent="0.35">
      <c r="A38" s="71"/>
      <c r="B38" s="2" t="s">
        <v>523</v>
      </c>
      <c r="C38" s="2" t="s">
        <v>524</v>
      </c>
      <c r="D38" s="58">
        <f>COUNTA(C38:C40)</f>
        <v>3</v>
      </c>
    </row>
    <row r="39" spans="1:4" x14ac:dyDescent="0.35">
      <c r="A39" s="71"/>
      <c r="B39" s="2" t="s">
        <v>530</v>
      </c>
      <c r="C39" s="2" t="s">
        <v>524</v>
      </c>
      <c r="D39" s="58"/>
    </row>
    <row r="40" spans="1:4" x14ac:dyDescent="0.35">
      <c r="A40" s="71"/>
      <c r="B40" s="2" t="s">
        <v>538</v>
      </c>
      <c r="C40" s="2" t="s">
        <v>524</v>
      </c>
      <c r="D40" s="58"/>
    </row>
    <row r="41" spans="1:4" x14ac:dyDescent="0.35">
      <c r="A41" s="64" t="s">
        <v>660</v>
      </c>
      <c r="B41" s="2" t="s">
        <v>542</v>
      </c>
      <c r="C41" s="2" t="s">
        <v>543</v>
      </c>
      <c r="D41" s="58">
        <f>COUNTA(C41:C42)</f>
        <v>2</v>
      </c>
    </row>
    <row r="42" spans="1:4" x14ac:dyDescent="0.35">
      <c r="A42" s="64"/>
      <c r="B42" s="2" t="s">
        <v>544</v>
      </c>
      <c r="C42" s="2" t="s">
        <v>543</v>
      </c>
      <c r="D42" s="58"/>
    </row>
    <row r="44" spans="1:4" x14ac:dyDescent="0.35">
      <c r="A44" s="1" t="s">
        <v>604</v>
      </c>
    </row>
    <row r="45" spans="1:4" x14ac:dyDescent="0.35">
      <c r="A45" s="2" t="s">
        <v>672</v>
      </c>
    </row>
    <row r="46" spans="1:4" x14ac:dyDescent="0.35">
      <c r="A46" s="2" t="s">
        <v>673</v>
      </c>
    </row>
    <row r="47" spans="1:4" x14ac:dyDescent="0.35">
      <c r="A47" s="2" t="s">
        <v>681</v>
      </c>
    </row>
    <row r="48" spans="1:4" x14ac:dyDescent="0.35">
      <c r="A48" s="2" t="s">
        <v>674</v>
      </c>
    </row>
    <row r="49" spans="1:1" x14ac:dyDescent="0.35">
      <c r="A49" s="2" t="s">
        <v>675</v>
      </c>
    </row>
    <row r="50" spans="1:1" x14ac:dyDescent="0.35">
      <c r="A50" s="2" t="s">
        <v>676</v>
      </c>
    </row>
    <row r="51" spans="1:1" x14ac:dyDescent="0.35">
      <c r="A51" s="2" t="s">
        <v>677</v>
      </c>
    </row>
    <row r="52" spans="1:1" x14ac:dyDescent="0.35">
      <c r="A52" s="2" t="s">
        <v>678</v>
      </c>
    </row>
    <row r="53" spans="1:1" x14ac:dyDescent="0.35">
      <c r="A53" s="2" t="s">
        <v>679</v>
      </c>
    </row>
    <row r="54" spans="1:1" x14ac:dyDescent="0.35">
      <c r="A54" s="2" t="s">
        <v>680</v>
      </c>
    </row>
    <row r="55" spans="1:1" x14ac:dyDescent="0.35">
      <c r="A55" s="2" t="s">
        <v>682</v>
      </c>
    </row>
    <row r="56" spans="1:1" x14ac:dyDescent="0.35">
      <c r="A56" s="2" t="s">
        <v>684</v>
      </c>
    </row>
    <row r="57" spans="1:1" x14ac:dyDescent="0.35">
      <c r="A57" s="2" t="s">
        <v>683</v>
      </c>
    </row>
  </sheetData>
  <mergeCells count="11">
    <mergeCell ref="A41:A42"/>
    <mergeCell ref="D41:D42"/>
    <mergeCell ref="A2:A23"/>
    <mergeCell ref="D2:D9"/>
    <mergeCell ref="D10:D15"/>
    <mergeCell ref="D16:D18"/>
    <mergeCell ref="D19:D23"/>
    <mergeCell ref="A24:A40"/>
    <mergeCell ref="D24:D33"/>
    <mergeCell ref="D34:D37"/>
    <mergeCell ref="D38:D40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E382F-90AF-44B4-80DC-A31D6FD9D772}">
  <dimension ref="A1:U65"/>
  <sheetViews>
    <sheetView topLeftCell="A4" workbookViewId="0">
      <selection activeCell="E35" sqref="E35"/>
    </sheetView>
  </sheetViews>
  <sheetFormatPr defaultRowHeight="14.15" x14ac:dyDescent="0.35"/>
  <cols>
    <col min="1" max="1" width="11.85546875" style="2" customWidth="1"/>
    <col min="2" max="2" width="10.5703125" style="2" customWidth="1"/>
    <col min="3" max="3" width="12.35546875" style="2" customWidth="1"/>
    <col min="4" max="4" width="11" style="2" customWidth="1"/>
    <col min="5" max="5" width="13.92578125" style="2" customWidth="1"/>
    <col min="6" max="6" width="15.5" style="2" customWidth="1"/>
    <col min="7" max="7" width="13.0703125" style="2" customWidth="1"/>
    <col min="8" max="16384" width="9.140625" style="2"/>
  </cols>
  <sheetData>
    <row r="1" spans="1:21" x14ac:dyDescent="0.35">
      <c r="A1" s="75" t="s">
        <v>908</v>
      </c>
      <c r="B1" s="75"/>
      <c r="C1" s="75"/>
      <c r="D1" s="75"/>
      <c r="E1" s="75"/>
      <c r="F1" s="75"/>
      <c r="G1" s="75"/>
      <c r="H1" s="75"/>
      <c r="I1" s="75"/>
      <c r="J1" s="75"/>
      <c r="L1" s="73" t="s">
        <v>912</v>
      </c>
      <c r="M1" s="73"/>
      <c r="N1" s="73"/>
      <c r="O1" s="73"/>
      <c r="P1" s="73"/>
      <c r="Q1" s="73"/>
      <c r="R1" s="73"/>
      <c r="S1" s="73"/>
      <c r="T1" s="73"/>
      <c r="U1" s="73"/>
    </row>
    <row r="2" spans="1:21" x14ac:dyDescent="0.35">
      <c r="A2" s="44" t="s">
        <v>920</v>
      </c>
      <c r="L2" s="44" t="s">
        <v>924</v>
      </c>
      <c r="M2" s="1"/>
      <c r="N2" s="1"/>
      <c r="O2" s="1"/>
      <c r="P2" s="1"/>
      <c r="Q2" s="1"/>
      <c r="R2" s="1"/>
      <c r="S2" s="1"/>
      <c r="T2" s="1"/>
      <c r="U2" s="1"/>
    </row>
    <row r="3" spans="1:21" x14ac:dyDescent="0.35">
      <c r="A3" s="2" t="s">
        <v>907</v>
      </c>
      <c r="B3" s="43" t="s">
        <v>868</v>
      </c>
      <c r="C3" s="2" t="s">
        <v>870</v>
      </c>
      <c r="D3" s="2" t="s">
        <v>871</v>
      </c>
      <c r="E3" s="43" t="s">
        <v>872</v>
      </c>
      <c r="F3" s="2" t="s">
        <v>869</v>
      </c>
      <c r="G3" s="2" t="s">
        <v>906</v>
      </c>
      <c r="H3" s="2" t="s">
        <v>865</v>
      </c>
      <c r="I3" s="2" t="s">
        <v>866</v>
      </c>
      <c r="J3" s="2" t="s">
        <v>909</v>
      </c>
      <c r="L3" s="2" t="s">
        <v>907</v>
      </c>
      <c r="M3" s="43" t="s">
        <v>868</v>
      </c>
      <c r="N3" s="2" t="s">
        <v>870</v>
      </c>
      <c r="O3" s="2" t="s">
        <v>871</v>
      </c>
      <c r="P3" s="43" t="s">
        <v>872</v>
      </c>
      <c r="Q3" s="2" t="s">
        <v>869</v>
      </c>
      <c r="R3" s="2" t="s">
        <v>906</v>
      </c>
      <c r="S3" s="2" t="s">
        <v>865</v>
      </c>
      <c r="T3" s="2" t="s">
        <v>866</v>
      </c>
      <c r="U3" s="2" t="s">
        <v>909</v>
      </c>
    </row>
    <row r="4" spans="1:21" x14ac:dyDescent="0.35">
      <c r="A4" s="2" t="s">
        <v>162</v>
      </c>
      <c r="B4" s="2">
        <v>1.47043412</v>
      </c>
      <c r="C4" s="2">
        <v>0.82490989999999997</v>
      </c>
      <c r="D4" s="2">
        <v>2.115958</v>
      </c>
      <c r="E4" s="43" t="s">
        <v>873</v>
      </c>
      <c r="F4" s="2" t="s">
        <v>792</v>
      </c>
      <c r="G4" s="43">
        <v>34.624499999999998</v>
      </c>
      <c r="H4" s="58">
        <v>0.74319999999999997</v>
      </c>
      <c r="I4" s="58">
        <v>0.67569999999999997</v>
      </c>
      <c r="J4" s="58">
        <v>2</v>
      </c>
      <c r="L4" s="2" t="s">
        <v>162</v>
      </c>
      <c r="M4" s="2">
        <v>0.75215149999999997</v>
      </c>
      <c r="N4" s="2">
        <v>0.13590585999999999</v>
      </c>
      <c r="O4" s="2">
        <v>1.3683970999999999</v>
      </c>
      <c r="P4" s="43" t="s">
        <v>915</v>
      </c>
      <c r="Q4" s="2" t="s">
        <v>792</v>
      </c>
      <c r="R4" s="2">
        <v>48.796729999999997</v>
      </c>
      <c r="S4" s="58">
        <v>0.36830000000000002</v>
      </c>
      <c r="T4" s="58">
        <v>0.27810000000000001</v>
      </c>
      <c r="U4" s="58">
        <v>3</v>
      </c>
    </row>
    <row r="5" spans="1:21" x14ac:dyDescent="0.35">
      <c r="A5" s="2" t="s">
        <v>166</v>
      </c>
      <c r="B5" s="2">
        <v>0.93475026999999999</v>
      </c>
      <c r="C5" s="2">
        <v>0.58878169999999996</v>
      </c>
      <c r="D5" s="2">
        <v>1.2807189999999999</v>
      </c>
      <c r="E5" s="43" t="s">
        <v>874</v>
      </c>
      <c r="F5" s="58" t="s">
        <v>793</v>
      </c>
      <c r="G5" s="58">
        <v>41.459449999999997</v>
      </c>
      <c r="H5" s="58"/>
      <c r="I5" s="58"/>
      <c r="J5" s="58"/>
      <c r="L5" s="2" t="s">
        <v>164</v>
      </c>
      <c r="M5" s="2">
        <v>0.68053669999999999</v>
      </c>
      <c r="N5" s="2">
        <v>4.691323E-2</v>
      </c>
      <c r="O5" s="2">
        <v>1.3141601999999999</v>
      </c>
      <c r="P5" s="43" t="s">
        <v>916</v>
      </c>
      <c r="Q5" s="58" t="s">
        <v>867</v>
      </c>
      <c r="R5" s="58">
        <v>51.203270000000003</v>
      </c>
      <c r="S5" s="58"/>
      <c r="T5" s="58"/>
      <c r="U5" s="58"/>
    </row>
    <row r="6" spans="1:21" x14ac:dyDescent="0.35">
      <c r="A6" s="2" t="s">
        <v>167</v>
      </c>
      <c r="B6" s="2">
        <v>-8.0911460000000004E-2</v>
      </c>
      <c r="C6" s="2">
        <v>-0.39396989999999998</v>
      </c>
      <c r="D6" s="2">
        <v>0.23214699999999999</v>
      </c>
      <c r="E6" s="43">
        <v>0.61250000000000004</v>
      </c>
      <c r="F6" s="58"/>
      <c r="G6" s="58"/>
      <c r="H6" s="58"/>
      <c r="I6" s="58"/>
      <c r="J6" s="58"/>
      <c r="L6" s="2" t="s">
        <v>165</v>
      </c>
      <c r="M6" s="2">
        <v>0.1087091</v>
      </c>
      <c r="N6" s="2">
        <v>-0.37858248999999999</v>
      </c>
      <c r="O6" s="2">
        <v>0.59600070000000005</v>
      </c>
      <c r="P6" s="43">
        <v>0.66190000000000004</v>
      </c>
      <c r="Q6" s="58"/>
      <c r="R6" s="58"/>
      <c r="S6" s="58"/>
      <c r="T6" s="58"/>
      <c r="U6" s="58"/>
    </row>
    <row r="7" spans="1:21" x14ac:dyDescent="0.35">
      <c r="A7" s="2" t="s">
        <v>165</v>
      </c>
      <c r="B7" s="2">
        <v>0.61153727000000002</v>
      </c>
      <c r="C7" s="2">
        <v>0.1207102</v>
      </c>
      <c r="D7" s="2">
        <v>1.1023639999999999</v>
      </c>
      <c r="E7" s="43" t="s">
        <v>876</v>
      </c>
      <c r="F7" s="58" t="s">
        <v>867</v>
      </c>
      <c r="G7" s="58">
        <v>23.915970000000002</v>
      </c>
      <c r="H7" s="58"/>
      <c r="I7" s="58"/>
      <c r="J7" s="58"/>
    </row>
    <row r="8" spans="1:21" x14ac:dyDescent="0.35">
      <c r="A8" s="2" t="s">
        <v>164</v>
      </c>
      <c r="B8" s="2">
        <v>1.1491597600000001</v>
      </c>
      <c r="C8" s="2">
        <v>0.59624169999999999</v>
      </c>
      <c r="D8" s="2">
        <v>1.702078</v>
      </c>
      <c r="E8" s="43" t="s">
        <v>875</v>
      </c>
      <c r="F8" s="58"/>
      <c r="G8" s="58"/>
      <c r="H8" s="58"/>
      <c r="I8" s="58"/>
      <c r="J8" s="58"/>
      <c r="L8" s="74" t="s">
        <v>917</v>
      </c>
      <c r="M8" s="74"/>
      <c r="N8" s="74"/>
      <c r="O8" s="74"/>
      <c r="P8" s="74"/>
      <c r="Q8" s="74"/>
      <c r="R8" s="74"/>
      <c r="S8" s="74"/>
      <c r="T8" s="74"/>
      <c r="U8" s="74"/>
    </row>
    <row r="9" spans="1:21" x14ac:dyDescent="0.35">
      <c r="A9" s="1" t="s">
        <v>921</v>
      </c>
      <c r="L9" s="44" t="s">
        <v>925</v>
      </c>
      <c r="M9" s="1"/>
      <c r="N9" s="1"/>
      <c r="O9" s="1"/>
      <c r="P9" s="1"/>
      <c r="Q9" s="1"/>
      <c r="R9" s="1"/>
      <c r="S9" s="1"/>
      <c r="T9" s="1"/>
      <c r="U9" s="1"/>
    </row>
    <row r="10" spans="1:21" x14ac:dyDescent="0.35">
      <c r="A10" s="2" t="s">
        <v>907</v>
      </c>
      <c r="B10" s="43" t="s">
        <v>868</v>
      </c>
      <c r="C10" s="2" t="s">
        <v>870</v>
      </c>
      <c r="D10" s="2" t="s">
        <v>871</v>
      </c>
      <c r="E10" s="43" t="s">
        <v>872</v>
      </c>
      <c r="F10" s="2" t="s">
        <v>869</v>
      </c>
      <c r="G10" s="2" t="s">
        <v>906</v>
      </c>
      <c r="H10" s="2" t="s">
        <v>865</v>
      </c>
      <c r="I10" s="2" t="s">
        <v>866</v>
      </c>
      <c r="J10" s="2" t="s">
        <v>909</v>
      </c>
      <c r="L10" s="2" t="s">
        <v>907</v>
      </c>
      <c r="M10" s="43" t="s">
        <v>868</v>
      </c>
      <c r="N10" s="2" t="s">
        <v>870</v>
      </c>
      <c r="O10" s="2" t="s">
        <v>871</v>
      </c>
      <c r="P10" s="43" t="s">
        <v>872</v>
      </c>
      <c r="Q10" s="2" t="s">
        <v>869</v>
      </c>
      <c r="R10" s="2" t="s">
        <v>906</v>
      </c>
      <c r="S10" s="2" t="s">
        <v>865</v>
      </c>
      <c r="T10" s="2" t="s">
        <v>866</v>
      </c>
      <c r="U10" s="2" t="s">
        <v>909</v>
      </c>
    </row>
    <row r="11" spans="1:21" x14ac:dyDescent="0.35">
      <c r="A11" s="2" t="s">
        <v>162</v>
      </c>
      <c r="B11" s="2">
        <v>0.70484637000000006</v>
      </c>
      <c r="C11" s="2">
        <v>2.239025E-2</v>
      </c>
      <c r="D11" s="2">
        <v>1.3873025000000001</v>
      </c>
      <c r="E11" s="43" t="s">
        <v>910</v>
      </c>
      <c r="F11" s="2" t="s">
        <v>792</v>
      </c>
      <c r="G11" s="43">
        <v>35.130893999999998</v>
      </c>
      <c r="H11" s="58">
        <v>0.66610000000000003</v>
      </c>
      <c r="I11" s="58">
        <v>0.57830000000000004</v>
      </c>
      <c r="J11" s="58">
        <v>6</v>
      </c>
      <c r="L11" s="2" t="s">
        <v>105</v>
      </c>
      <c r="M11" s="2">
        <v>0.12481953</v>
      </c>
      <c r="N11" s="2">
        <v>-0.29709819999999998</v>
      </c>
      <c r="O11" s="2">
        <v>0.54673720000000003</v>
      </c>
      <c r="P11" s="43">
        <v>0.56200000000000006</v>
      </c>
      <c r="Q11" s="58" t="s">
        <v>918</v>
      </c>
      <c r="R11" s="58">
        <v>41.107666000000002</v>
      </c>
      <c r="S11" s="58">
        <v>0.27500000000000002</v>
      </c>
      <c r="T11" s="58">
        <v>3.3369999999999997E-2</v>
      </c>
      <c r="U11" s="58">
        <v>10</v>
      </c>
    </row>
    <row r="12" spans="1:21" x14ac:dyDescent="0.35">
      <c r="A12" s="2" t="s">
        <v>167</v>
      </c>
      <c r="B12" s="2">
        <v>0.16046450000000001</v>
      </c>
      <c r="C12" s="2">
        <v>-0.27815676</v>
      </c>
      <c r="D12" s="2">
        <v>0.59908570000000005</v>
      </c>
      <c r="E12" s="43">
        <v>0.47335500000000003</v>
      </c>
      <c r="F12" s="2" t="s">
        <v>793</v>
      </c>
      <c r="G12" s="43">
        <v>7.9978579999999999</v>
      </c>
      <c r="H12" s="58"/>
      <c r="I12" s="58"/>
      <c r="J12" s="58"/>
      <c r="L12" s="2" t="s">
        <v>170</v>
      </c>
      <c r="M12" s="2">
        <v>5.8092730000000002E-2</v>
      </c>
      <c r="N12" s="2">
        <v>-0.23730589999999999</v>
      </c>
      <c r="O12" s="2">
        <v>0.35349140000000001</v>
      </c>
      <c r="P12" s="43">
        <v>0.7</v>
      </c>
      <c r="Q12" s="58"/>
      <c r="R12" s="58"/>
      <c r="S12" s="58"/>
      <c r="T12" s="58"/>
      <c r="U12" s="58"/>
    </row>
    <row r="13" spans="1:21" x14ac:dyDescent="0.35">
      <c r="A13" s="2" t="s">
        <v>165</v>
      </c>
      <c r="B13" s="2">
        <v>0.87155112000000001</v>
      </c>
      <c r="C13" s="2">
        <v>0.35869075</v>
      </c>
      <c r="D13" s="2">
        <v>1.3844114999999999</v>
      </c>
      <c r="E13" s="43" t="s">
        <v>911</v>
      </c>
      <c r="F13" s="58" t="s">
        <v>867</v>
      </c>
      <c r="G13" s="72">
        <v>54.033985000000001</v>
      </c>
      <c r="H13" s="58"/>
      <c r="I13" s="58"/>
      <c r="J13" s="58"/>
      <c r="L13" s="2" t="s">
        <v>172</v>
      </c>
      <c r="M13" s="2">
        <v>0.15536762000000001</v>
      </c>
      <c r="N13" s="2">
        <v>-0.30937540000000002</v>
      </c>
      <c r="O13" s="2">
        <v>0.62011059999999996</v>
      </c>
      <c r="P13" s="43">
        <v>0.51200000000000001</v>
      </c>
      <c r="Q13" s="2" t="s">
        <v>795</v>
      </c>
      <c r="R13" s="43">
        <v>34.917287999999999</v>
      </c>
      <c r="S13" s="58"/>
      <c r="T13" s="58"/>
      <c r="U13" s="58"/>
    </row>
    <row r="14" spans="1:21" x14ac:dyDescent="0.35">
      <c r="A14" s="2" t="s">
        <v>164</v>
      </c>
      <c r="B14" s="2">
        <v>0.21255615999999999</v>
      </c>
      <c r="C14" s="2">
        <v>-0.39840889000000002</v>
      </c>
      <c r="D14" s="2">
        <v>0.82352119999999995</v>
      </c>
      <c r="E14" s="43">
        <v>0.49531700000000001</v>
      </c>
      <c r="F14" s="58"/>
      <c r="G14" s="72"/>
      <c r="H14" s="58"/>
      <c r="I14" s="58"/>
      <c r="J14" s="58"/>
      <c r="L14" s="2" t="s">
        <v>106</v>
      </c>
      <c r="M14" s="2">
        <v>1.1791640000000001E-2</v>
      </c>
      <c r="N14" s="2">
        <v>-0.12636069999999999</v>
      </c>
      <c r="O14" s="2">
        <v>0.14994399999999999</v>
      </c>
      <c r="P14" s="43">
        <v>0.86699999999999999</v>
      </c>
      <c r="Q14" s="2" t="s">
        <v>796</v>
      </c>
      <c r="R14" s="43">
        <v>2.6500520000000001</v>
      </c>
      <c r="S14" s="58"/>
      <c r="T14" s="58"/>
      <c r="U14" s="58"/>
    </row>
    <row r="15" spans="1:21" x14ac:dyDescent="0.35">
      <c r="A15" s="2" t="s">
        <v>168</v>
      </c>
      <c r="B15" s="2">
        <v>5.6925249999999997E-2</v>
      </c>
      <c r="C15" s="2">
        <v>-0.19293927</v>
      </c>
      <c r="D15" s="2">
        <v>0.3067898</v>
      </c>
      <c r="E15" s="43">
        <v>0.65521600000000002</v>
      </c>
      <c r="F15" s="2" t="s">
        <v>794</v>
      </c>
      <c r="G15" s="43">
        <v>2.8372630000000001</v>
      </c>
      <c r="H15" s="58"/>
      <c r="I15" s="58"/>
      <c r="J15" s="58"/>
      <c r="L15" s="2" t="s">
        <v>109</v>
      </c>
      <c r="M15" s="2">
        <v>-7.156672E-2</v>
      </c>
      <c r="N15" s="2">
        <v>-0.41224519999999998</v>
      </c>
      <c r="O15" s="2">
        <v>0.26911170000000001</v>
      </c>
      <c r="P15" s="43">
        <v>0.68100000000000005</v>
      </c>
      <c r="Q15" s="58" t="s">
        <v>919</v>
      </c>
      <c r="R15" s="58">
        <v>21.324994</v>
      </c>
      <c r="S15" s="58"/>
      <c r="T15" s="58"/>
      <c r="U15" s="58"/>
    </row>
    <row r="16" spans="1:21" x14ac:dyDescent="0.35">
      <c r="A16" s="44" t="s">
        <v>922</v>
      </c>
      <c r="L16" s="2" t="s">
        <v>108</v>
      </c>
      <c r="M16" s="2">
        <v>2.3320759999999999E-2</v>
      </c>
      <c r="N16" s="2">
        <v>-0.19594739999999999</v>
      </c>
      <c r="O16" s="2">
        <v>0.2425889</v>
      </c>
      <c r="P16" s="43">
        <v>0.83499999999999996</v>
      </c>
      <c r="Q16" s="58"/>
      <c r="R16" s="58"/>
      <c r="S16" s="58"/>
      <c r="T16" s="58"/>
      <c r="U16" s="58"/>
    </row>
    <row r="17" spans="1:10" x14ac:dyDescent="0.35">
      <c r="A17" s="2" t="s">
        <v>907</v>
      </c>
      <c r="B17" s="43" t="s">
        <v>868</v>
      </c>
      <c r="C17" s="2" t="s">
        <v>870</v>
      </c>
      <c r="D17" s="2" t="s">
        <v>871</v>
      </c>
      <c r="E17" s="43" t="s">
        <v>872</v>
      </c>
      <c r="F17" s="2" t="s">
        <v>869</v>
      </c>
      <c r="G17" s="2" t="s">
        <v>906</v>
      </c>
      <c r="H17" s="2" t="s">
        <v>865</v>
      </c>
      <c r="I17" s="2" t="s">
        <v>866</v>
      </c>
      <c r="J17" s="2" t="s">
        <v>909</v>
      </c>
    </row>
    <row r="18" spans="1:10" x14ac:dyDescent="0.35">
      <c r="A18" s="2" t="s">
        <v>162</v>
      </c>
      <c r="B18" s="2">
        <v>-0.30164152999999999</v>
      </c>
      <c r="C18" s="2">
        <v>-0.93853575</v>
      </c>
      <c r="D18" s="2">
        <v>0.33525270000000001</v>
      </c>
      <c r="E18" s="43">
        <v>0.3533</v>
      </c>
      <c r="F18" s="2" t="s">
        <v>792</v>
      </c>
      <c r="G18" s="43">
        <v>28.824601999999999</v>
      </c>
      <c r="H18" s="58">
        <v>0.73970000000000002</v>
      </c>
      <c r="I18" s="58">
        <v>0.67120000000000002</v>
      </c>
      <c r="J18" s="58">
        <v>7</v>
      </c>
    </row>
    <row r="19" spans="1:10" x14ac:dyDescent="0.35">
      <c r="A19" s="2" t="s">
        <v>167</v>
      </c>
      <c r="B19" s="2">
        <v>-1.9766990000000002E-2</v>
      </c>
      <c r="C19" s="2">
        <v>-0.15922546000000001</v>
      </c>
      <c r="D19" s="2">
        <v>0.11969150000000001</v>
      </c>
      <c r="E19" s="43">
        <v>0.78120000000000001</v>
      </c>
      <c r="F19" s="2" t="s">
        <v>793</v>
      </c>
      <c r="G19" s="2">
        <v>1.888916</v>
      </c>
      <c r="H19" s="58"/>
      <c r="I19" s="58"/>
      <c r="J19" s="58"/>
    </row>
    <row r="20" spans="1:10" x14ac:dyDescent="0.35">
      <c r="A20" s="2" t="s">
        <v>164</v>
      </c>
      <c r="B20" s="2">
        <v>0.56503314000000004</v>
      </c>
      <c r="C20" s="2">
        <v>-5.9370829999999999E-2</v>
      </c>
      <c r="D20" s="2">
        <v>1.1894370999999999</v>
      </c>
      <c r="E20" s="43">
        <v>7.6100000000000001E-2</v>
      </c>
      <c r="F20" s="58" t="s">
        <v>867</v>
      </c>
      <c r="G20" s="58">
        <v>65.817251999999996</v>
      </c>
      <c r="H20" s="58"/>
      <c r="I20" s="58"/>
      <c r="J20" s="58"/>
    </row>
    <row r="21" spans="1:10" x14ac:dyDescent="0.35">
      <c r="A21" s="2" t="s">
        <v>165</v>
      </c>
      <c r="B21" s="2">
        <v>-0.1237263</v>
      </c>
      <c r="C21" s="2">
        <v>-0.56982345999999995</v>
      </c>
      <c r="D21" s="2">
        <v>0.32237090000000002</v>
      </c>
      <c r="E21" s="43">
        <v>0.5867</v>
      </c>
      <c r="F21" s="58"/>
      <c r="G21" s="58"/>
      <c r="H21" s="58"/>
      <c r="I21" s="58"/>
      <c r="J21" s="58"/>
    </row>
    <row r="22" spans="1:10" x14ac:dyDescent="0.35">
      <c r="A22" s="2" t="s">
        <v>169</v>
      </c>
      <c r="B22" s="2">
        <v>-3.6304540000000003E-2</v>
      </c>
      <c r="C22" s="2">
        <v>-0.21808341000000001</v>
      </c>
      <c r="D22" s="2">
        <v>0.1454743</v>
      </c>
      <c r="E22" s="43">
        <v>0.69550000000000001</v>
      </c>
      <c r="F22" s="2" t="s">
        <v>794</v>
      </c>
      <c r="G22" s="2">
        <v>3.46923</v>
      </c>
      <c r="H22" s="58"/>
      <c r="I22" s="58"/>
      <c r="J22" s="58"/>
    </row>
    <row r="23" spans="1:10" x14ac:dyDescent="0.35">
      <c r="A23" s="44" t="s">
        <v>923</v>
      </c>
    </row>
    <row r="24" spans="1:10" x14ac:dyDescent="0.35">
      <c r="A24" s="2" t="s">
        <v>907</v>
      </c>
      <c r="B24" s="43" t="s">
        <v>868</v>
      </c>
      <c r="C24" s="2" t="s">
        <v>870</v>
      </c>
      <c r="D24" s="2" t="s">
        <v>871</v>
      </c>
      <c r="E24" s="43" t="s">
        <v>872</v>
      </c>
      <c r="F24" s="2" t="s">
        <v>869</v>
      </c>
      <c r="G24" s="2" t="s">
        <v>906</v>
      </c>
      <c r="H24" s="2" t="s">
        <v>865</v>
      </c>
      <c r="I24" s="2" t="s">
        <v>866</v>
      </c>
      <c r="J24" s="2" t="s">
        <v>909</v>
      </c>
    </row>
    <row r="25" spans="1:10" x14ac:dyDescent="0.35">
      <c r="A25" s="2" t="s">
        <v>164</v>
      </c>
      <c r="B25" s="2">
        <v>0.73415037999999999</v>
      </c>
      <c r="C25" s="2">
        <v>0.45730419999999999</v>
      </c>
      <c r="D25" s="2">
        <v>1.01099652</v>
      </c>
      <c r="E25" s="43" t="s">
        <v>913</v>
      </c>
      <c r="F25" s="2" t="s">
        <v>867</v>
      </c>
      <c r="G25" s="58">
        <v>61.547575000000002</v>
      </c>
      <c r="H25" s="58">
        <v>0.81340000000000001</v>
      </c>
      <c r="I25" s="58">
        <v>0.75119999999999998</v>
      </c>
      <c r="J25" s="58">
        <v>5</v>
      </c>
    </row>
    <row r="26" spans="1:10" x14ac:dyDescent="0.35">
      <c r="A26" s="2" t="s">
        <v>165</v>
      </c>
      <c r="B26" s="2">
        <v>-9.8549659999999997E-2</v>
      </c>
      <c r="C26" s="2">
        <v>-0.38197880000000001</v>
      </c>
      <c r="D26" s="2">
        <v>0.18487949000000001</v>
      </c>
      <c r="E26" s="43">
        <v>0.49559999999999998</v>
      </c>
      <c r="F26" s="2" t="s">
        <v>867</v>
      </c>
      <c r="G26" s="58"/>
      <c r="H26" s="58"/>
      <c r="I26" s="58"/>
      <c r="J26" s="58"/>
    </row>
    <row r="27" spans="1:10" x14ac:dyDescent="0.35">
      <c r="A27" s="2" t="s">
        <v>166</v>
      </c>
      <c r="B27" s="2">
        <v>2.809795E-2</v>
      </c>
      <c r="C27" s="2">
        <v>-0.1269005</v>
      </c>
      <c r="D27" s="2">
        <v>0.18309643</v>
      </c>
      <c r="E27" s="43">
        <v>0.72240000000000004</v>
      </c>
      <c r="F27" s="2" t="s">
        <v>793</v>
      </c>
      <c r="G27" s="70">
        <v>9.6704919999999994</v>
      </c>
      <c r="H27" s="58"/>
      <c r="I27" s="58"/>
      <c r="J27" s="58"/>
    </row>
    <row r="28" spans="1:10" x14ac:dyDescent="0.35">
      <c r="A28" s="2" t="s">
        <v>167</v>
      </c>
      <c r="B28" s="2">
        <v>-0.10273773999999999</v>
      </c>
      <c r="C28" s="2">
        <v>-0.46421499999999999</v>
      </c>
      <c r="D28" s="2">
        <v>0.25873952</v>
      </c>
      <c r="E28" s="43">
        <v>0.57750000000000001</v>
      </c>
      <c r="F28" s="2" t="s">
        <v>793</v>
      </c>
      <c r="G28" s="70"/>
      <c r="H28" s="58"/>
      <c r="I28" s="58"/>
      <c r="J28" s="58"/>
    </row>
    <row r="29" spans="1:10" x14ac:dyDescent="0.35">
      <c r="A29" s="2" t="s">
        <v>169</v>
      </c>
      <c r="B29" s="2">
        <v>-3.0602109999999998E-2</v>
      </c>
      <c r="C29" s="2">
        <v>-0.21181929999999999</v>
      </c>
      <c r="D29" s="2">
        <v>0.15061506</v>
      </c>
      <c r="E29" s="43">
        <v>0.74070000000000003</v>
      </c>
      <c r="F29" s="2" t="s">
        <v>794</v>
      </c>
      <c r="G29" s="58">
        <v>28.781932999999999</v>
      </c>
      <c r="H29" s="58"/>
      <c r="I29" s="58"/>
      <c r="J29" s="58"/>
    </row>
    <row r="30" spans="1:10" x14ac:dyDescent="0.35">
      <c r="A30" s="2" t="s">
        <v>168</v>
      </c>
      <c r="B30" s="2">
        <v>-0.35879936000000001</v>
      </c>
      <c r="C30" s="2">
        <v>-0.73770729999999995</v>
      </c>
      <c r="D30" s="2">
        <v>2.0108549999999999E-2</v>
      </c>
      <c r="E30" s="43" t="s">
        <v>914</v>
      </c>
      <c r="F30" s="2" t="s">
        <v>794</v>
      </c>
      <c r="G30" s="58"/>
      <c r="H30" s="58"/>
      <c r="I30" s="58"/>
      <c r="J30" s="58"/>
    </row>
    <row r="33" spans="1:1" x14ac:dyDescent="0.35">
      <c r="A33" s="1" t="s">
        <v>604</v>
      </c>
    </row>
    <row r="34" spans="1:1" x14ac:dyDescent="0.35">
      <c r="A34" s="2" t="s">
        <v>669</v>
      </c>
    </row>
    <row r="35" spans="1:1" x14ac:dyDescent="0.35">
      <c r="A35" s="2" t="s">
        <v>877</v>
      </c>
    </row>
    <row r="36" spans="1:1" x14ac:dyDescent="0.35">
      <c r="A36" s="9" t="s">
        <v>878</v>
      </c>
    </row>
    <row r="37" spans="1:1" x14ac:dyDescent="0.35">
      <c r="A37" s="17" t="s">
        <v>601</v>
      </c>
    </row>
    <row r="38" spans="1:1" x14ac:dyDescent="0.35">
      <c r="A38" s="2" t="s">
        <v>879</v>
      </c>
    </row>
    <row r="39" spans="1:1" x14ac:dyDescent="0.35">
      <c r="A39" s="2" t="s">
        <v>880</v>
      </c>
    </row>
    <row r="40" spans="1:1" x14ac:dyDescent="0.35">
      <c r="A40" s="2" t="s">
        <v>897</v>
      </c>
    </row>
    <row r="41" spans="1:1" x14ac:dyDescent="0.35">
      <c r="A41" s="9" t="s">
        <v>881</v>
      </c>
    </row>
    <row r="42" spans="1:1" x14ac:dyDescent="0.35">
      <c r="A42" s="2" t="s">
        <v>882</v>
      </c>
    </row>
    <row r="43" spans="1:1" x14ac:dyDescent="0.35">
      <c r="A43" s="2" t="s">
        <v>883</v>
      </c>
    </row>
    <row r="44" spans="1:1" x14ac:dyDescent="0.35">
      <c r="A44" s="2" t="s">
        <v>884</v>
      </c>
    </row>
    <row r="45" spans="1:1" x14ac:dyDescent="0.35">
      <c r="A45" s="2" t="s">
        <v>896</v>
      </c>
    </row>
    <row r="46" spans="1:1" x14ac:dyDescent="0.35">
      <c r="A46" s="2" t="s">
        <v>885</v>
      </c>
    </row>
    <row r="47" spans="1:1" x14ac:dyDescent="0.35">
      <c r="A47" s="9" t="s">
        <v>891</v>
      </c>
    </row>
    <row r="48" spans="1:1" x14ac:dyDescent="0.35">
      <c r="A48" s="2" t="s">
        <v>886</v>
      </c>
    </row>
    <row r="49" spans="1:1" x14ac:dyDescent="0.35">
      <c r="A49" s="2" t="s">
        <v>887</v>
      </c>
    </row>
    <row r="50" spans="1:1" x14ac:dyDescent="0.35">
      <c r="A50" s="2" t="s">
        <v>888</v>
      </c>
    </row>
    <row r="51" spans="1:1" x14ac:dyDescent="0.35">
      <c r="A51" s="2" t="s">
        <v>889</v>
      </c>
    </row>
    <row r="52" spans="1:1" x14ac:dyDescent="0.35">
      <c r="A52" s="2" t="s">
        <v>890</v>
      </c>
    </row>
    <row r="53" spans="1:1" x14ac:dyDescent="0.35">
      <c r="A53" s="2" t="s">
        <v>892</v>
      </c>
    </row>
    <row r="54" spans="1:1" x14ac:dyDescent="0.35">
      <c r="A54" s="2" t="s">
        <v>893</v>
      </c>
    </row>
    <row r="55" spans="1:1" x14ac:dyDescent="0.35">
      <c r="A55" s="2" t="s">
        <v>894</v>
      </c>
    </row>
    <row r="56" spans="1:1" x14ac:dyDescent="0.35">
      <c r="A56" s="2" t="s">
        <v>895</v>
      </c>
    </row>
    <row r="57" spans="1:1" x14ac:dyDescent="0.35">
      <c r="A57" s="2" t="s">
        <v>898</v>
      </c>
    </row>
    <row r="58" spans="1:1" x14ac:dyDescent="0.35">
      <c r="A58" s="2" t="s">
        <v>899</v>
      </c>
    </row>
    <row r="59" spans="1:1" x14ac:dyDescent="0.35">
      <c r="A59" s="2" t="s">
        <v>900</v>
      </c>
    </row>
    <row r="60" spans="1:1" x14ac:dyDescent="0.35">
      <c r="A60" s="2" t="s">
        <v>901</v>
      </c>
    </row>
    <row r="61" spans="1:1" x14ac:dyDescent="0.35">
      <c r="A61" s="2" t="s">
        <v>902</v>
      </c>
    </row>
    <row r="62" spans="1:1" x14ac:dyDescent="0.35">
      <c r="A62" s="2" t="s">
        <v>903</v>
      </c>
    </row>
    <row r="63" spans="1:1" x14ac:dyDescent="0.35">
      <c r="A63" s="2" t="s">
        <v>904</v>
      </c>
    </row>
    <row r="64" spans="1:1" x14ac:dyDescent="0.35">
      <c r="A64" s="2" t="s">
        <v>905</v>
      </c>
    </row>
    <row r="65" spans="1:1" x14ac:dyDescent="0.35">
      <c r="A65" s="9" t="s">
        <v>744</v>
      </c>
    </row>
  </sheetData>
  <mergeCells count="38">
    <mergeCell ref="U11:U16"/>
    <mergeCell ref="Q11:Q12"/>
    <mergeCell ref="Q15:Q16"/>
    <mergeCell ref="R11:R12"/>
    <mergeCell ref="R15:R16"/>
    <mergeCell ref="S11:S16"/>
    <mergeCell ref="T11:T16"/>
    <mergeCell ref="H25:H30"/>
    <mergeCell ref="I25:I30"/>
    <mergeCell ref="J25:J30"/>
    <mergeCell ref="L1:U1"/>
    <mergeCell ref="Q5:Q6"/>
    <mergeCell ref="R5:R6"/>
    <mergeCell ref="S4:S6"/>
    <mergeCell ref="T4:T6"/>
    <mergeCell ref="U4:U6"/>
    <mergeCell ref="L8:U8"/>
    <mergeCell ref="H18:H22"/>
    <mergeCell ref="I18:I22"/>
    <mergeCell ref="J18:J22"/>
    <mergeCell ref="H4:H8"/>
    <mergeCell ref="I4:I8"/>
    <mergeCell ref="A1:J1"/>
    <mergeCell ref="F20:F21"/>
    <mergeCell ref="G27:G28"/>
    <mergeCell ref="G25:G26"/>
    <mergeCell ref="G29:G30"/>
    <mergeCell ref="G20:G21"/>
    <mergeCell ref="J4:J8"/>
    <mergeCell ref="F13:F14"/>
    <mergeCell ref="G13:G14"/>
    <mergeCell ref="H11:H15"/>
    <mergeCell ref="I11:I15"/>
    <mergeCell ref="J11:J15"/>
    <mergeCell ref="F7:F8"/>
    <mergeCell ref="F5:F6"/>
    <mergeCell ref="G5:G6"/>
    <mergeCell ref="G7:G8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02F73-3979-4070-A4F4-121D98CF4E22}">
  <dimension ref="A1:AG62"/>
  <sheetViews>
    <sheetView topLeftCell="A28" zoomScale="85" zoomScaleNormal="85" workbookViewId="0">
      <selection activeCell="D41" sqref="D41"/>
    </sheetView>
  </sheetViews>
  <sheetFormatPr defaultRowHeight="14.15" x14ac:dyDescent="0.35"/>
  <cols>
    <col min="1" max="16384" width="9.140625" style="2"/>
  </cols>
  <sheetData>
    <row r="1" spans="1:33" x14ac:dyDescent="0.35">
      <c r="A1" s="75" t="s">
        <v>971</v>
      </c>
      <c r="B1" s="75"/>
      <c r="C1" s="75"/>
      <c r="D1" s="75"/>
      <c r="E1" s="75"/>
      <c r="F1" s="75"/>
      <c r="G1" s="75"/>
      <c r="H1" s="75"/>
      <c r="I1" s="75"/>
      <c r="J1" s="5"/>
      <c r="L1" s="73" t="s">
        <v>970</v>
      </c>
      <c r="M1" s="73"/>
      <c r="N1" s="73"/>
      <c r="O1" s="73"/>
      <c r="P1" s="73"/>
      <c r="Q1" s="73"/>
      <c r="R1" s="73"/>
    </row>
    <row r="2" spans="1:33" s="1" customFormat="1" x14ac:dyDescent="0.35">
      <c r="A2" s="1" t="s">
        <v>20</v>
      </c>
      <c r="B2" s="31" t="s">
        <v>219</v>
      </c>
      <c r="C2" s="31" t="s">
        <v>220</v>
      </c>
      <c r="D2" s="31" t="s">
        <v>221</v>
      </c>
      <c r="E2" s="31" t="s">
        <v>222</v>
      </c>
      <c r="F2" s="31" t="s">
        <v>223</v>
      </c>
      <c r="G2" s="31" t="s">
        <v>224</v>
      </c>
      <c r="H2" s="31" t="s">
        <v>225</v>
      </c>
      <c r="I2" s="46" t="s">
        <v>927</v>
      </c>
      <c r="J2" s="46"/>
      <c r="L2" s="1" t="s">
        <v>986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 x14ac:dyDescent="0.35">
      <c r="A3" s="2" t="s">
        <v>14</v>
      </c>
      <c r="B3" s="2">
        <v>-0.60696426999999997</v>
      </c>
      <c r="C3" s="2">
        <v>1.8906676</v>
      </c>
      <c r="D3" s="2">
        <v>-0.61757709999999999</v>
      </c>
      <c r="E3" s="2">
        <v>0.19529099999999999</v>
      </c>
      <c r="F3" s="2">
        <v>1.5000720999999999</v>
      </c>
      <c r="G3" s="2">
        <v>-2.607852141</v>
      </c>
      <c r="H3" s="2">
        <v>-1.3563783899999999</v>
      </c>
      <c r="I3" s="2">
        <v>-0.66783106000000003</v>
      </c>
      <c r="L3" s="2" t="s">
        <v>987</v>
      </c>
    </row>
    <row r="4" spans="1:33" x14ac:dyDescent="0.35">
      <c r="A4" s="2" t="s">
        <v>14</v>
      </c>
      <c r="B4" s="2">
        <v>-1.7775299099999999</v>
      </c>
      <c r="C4" s="2">
        <v>1.8241379</v>
      </c>
      <c r="D4" s="2">
        <v>-1.1632361</v>
      </c>
      <c r="E4" s="2">
        <v>-1.274586</v>
      </c>
      <c r="F4" s="2">
        <v>0.54156384999999996</v>
      </c>
      <c r="G4" s="2">
        <v>-1.5811076799999999</v>
      </c>
      <c r="H4" s="2">
        <v>-1.2524522899999999</v>
      </c>
      <c r="I4" s="2">
        <v>-0.7289042</v>
      </c>
      <c r="L4" s="2" t="s">
        <v>988</v>
      </c>
    </row>
    <row r="5" spans="1:33" x14ac:dyDescent="0.35">
      <c r="A5" s="2" t="s">
        <v>14</v>
      </c>
      <c r="B5" s="2">
        <v>-0.41932540000000001</v>
      </c>
      <c r="C5" s="2">
        <v>1.8895655</v>
      </c>
      <c r="D5" s="2">
        <v>-1.7779632000000001</v>
      </c>
      <c r="E5" s="2">
        <v>-2.3106149</v>
      </c>
      <c r="F5" s="2">
        <v>2.0529040099999998</v>
      </c>
      <c r="G5" s="2">
        <v>-0.67994818499999998</v>
      </c>
      <c r="H5" s="2">
        <v>-2.6016741799999998</v>
      </c>
      <c r="I5" s="2">
        <v>-0.87688823000000005</v>
      </c>
      <c r="L5" s="2" t="s">
        <v>989</v>
      </c>
    </row>
    <row r="6" spans="1:33" x14ac:dyDescent="0.35">
      <c r="A6" s="2" t="s">
        <v>14</v>
      </c>
      <c r="B6" s="2">
        <v>-1.2239179099999999</v>
      </c>
      <c r="C6" s="2">
        <v>1.8442943000000001</v>
      </c>
      <c r="D6" s="2">
        <v>-0.65357739999999998</v>
      </c>
      <c r="E6" s="2">
        <v>0.54194589999999998</v>
      </c>
      <c r="F6" s="2">
        <v>0.70449326999999995</v>
      </c>
      <c r="G6" s="2">
        <v>-2.2158681840000001</v>
      </c>
      <c r="H6" s="2">
        <v>-1.79215407</v>
      </c>
      <c r="I6" s="2">
        <v>-0.62140134000000002</v>
      </c>
      <c r="L6" s="2" t="s">
        <v>990</v>
      </c>
    </row>
    <row r="7" spans="1:33" x14ac:dyDescent="0.35">
      <c r="A7" s="2" t="s">
        <v>14</v>
      </c>
      <c r="B7" s="2">
        <v>-0.69003802999999997</v>
      </c>
      <c r="C7" s="2">
        <v>1.7960015</v>
      </c>
      <c r="D7" s="2">
        <v>-1.0955055</v>
      </c>
      <c r="E7" s="2">
        <v>-4.2586953999999997</v>
      </c>
      <c r="F7" s="2">
        <v>0.88132312999999995</v>
      </c>
      <c r="G7" s="2">
        <v>-1.2656820200000001</v>
      </c>
      <c r="H7" s="2">
        <v>-2.5088892399999998</v>
      </c>
      <c r="I7" s="2">
        <v>-0.58910081000000003</v>
      </c>
      <c r="L7" s="2" t="s">
        <v>928</v>
      </c>
    </row>
    <row r="8" spans="1:33" x14ac:dyDescent="0.35">
      <c r="A8" s="24" t="s">
        <v>15</v>
      </c>
      <c r="B8" s="24">
        <v>4.0997635199999998</v>
      </c>
      <c r="C8" s="24">
        <v>1.6114382</v>
      </c>
      <c r="D8" s="24">
        <v>2.2077358</v>
      </c>
      <c r="E8" s="24">
        <v>2.9011672000000002</v>
      </c>
      <c r="F8" s="24">
        <v>0.92682977</v>
      </c>
      <c r="G8" s="24">
        <v>-1.107804698</v>
      </c>
      <c r="H8" s="24">
        <v>-0.767374</v>
      </c>
      <c r="I8" s="24">
        <v>0.95885522999999995</v>
      </c>
      <c r="L8" s="2" t="s">
        <v>991</v>
      </c>
    </row>
    <row r="9" spans="1:33" x14ac:dyDescent="0.35">
      <c r="A9" s="24" t="s">
        <v>15</v>
      </c>
      <c r="B9" s="24">
        <v>0.59959454000000001</v>
      </c>
      <c r="C9" s="24">
        <v>1.5784625999999999</v>
      </c>
      <c r="D9" s="24">
        <v>0.65614859999999997</v>
      </c>
      <c r="E9" s="24">
        <v>-0.66205429999999998</v>
      </c>
      <c r="F9" s="24">
        <v>2.3535044300000001</v>
      </c>
      <c r="G9" s="24">
        <v>0.92422402100000001</v>
      </c>
      <c r="H9" s="24">
        <v>1.966188E-2</v>
      </c>
      <c r="I9" s="24">
        <v>1.1786448700000001</v>
      </c>
      <c r="L9" s="2" t="s">
        <v>929</v>
      </c>
    </row>
    <row r="10" spans="1:33" x14ac:dyDescent="0.35">
      <c r="A10" s="24" t="s">
        <v>15</v>
      </c>
      <c r="B10" s="24">
        <v>0.38747624000000003</v>
      </c>
      <c r="C10" s="24">
        <v>1.5042945000000001</v>
      </c>
      <c r="D10" s="24">
        <v>1.2935882000000001</v>
      </c>
      <c r="E10" s="24">
        <v>-1.3597315000000001</v>
      </c>
      <c r="F10" s="24">
        <v>-0.47299343999999999</v>
      </c>
      <c r="G10" s="24">
        <v>0.21589786</v>
      </c>
      <c r="H10" s="24">
        <v>-1.3791665900000001</v>
      </c>
      <c r="I10" s="24">
        <v>1.3596291700000001</v>
      </c>
    </row>
    <row r="11" spans="1:33" x14ac:dyDescent="0.35">
      <c r="A11" s="24" t="s">
        <v>15</v>
      </c>
      <c r="B11" s="24">
        <v>-4.4845990000000002E-2</v>
      </c>
      <c r="C11" s="24">
        <v>1.4168748</v>
      </c>
      <c r="D11" s="24">
        <v>4.9697725999999998</v>
      </c>
      <c r="E11" s="24">
        <v>-0.10546320000000001</v>
      </c>
      <c r="F11" s="24">
        <v>-0.69690527000000002</v>
      </c>
      <c r="G11" s="24">
        <v>9.2318411000000003E-2</v>
      </c>
      <c r="H11" s="24">
        <v>-1.70944753</v>
      </c>
      <c r="I11" s="24">
        <v>1.5834104</v>
      </c>
      <c r="L11" s="1" t="s">
        <v>930</v>
      </c>
    </row>
    <row r="12" spans="1:33" x14ac:dyDescent="0.35">
      <c r="A12" s="24" t="s">
        <v>15</v>
      </c>
      <c r="B12" s="24">
        <v>2.4371990399999999</v>
      </c>
      <c r="C12" s="24">
        <v>1.4095826</v>
      </c>
      <c r="D12" s="24">
        <v>2.9280569000000001</v>
      </c>
      <c r="E12" s="24">
        <v>-0.37884709999999999</v>
      </c>
      <c r="F12" s="24">
        <v>1.58780166</v>
      </c>
      <c r="G12" s="24">
        <v>-0.88502892499999997</v>
      </c>
      <c r="H12" s="24">
        <v>-0.71649487000000001</v>
      </c>
      <c r="I12" s="24">
        <v>1.6765825299999999</v>
      </c>
      <c r="L12" s="2">
        <v>575.06399999999996</v>
      </c>
    </row>
    <row r="13" spans="1:33" x14ac:dyDescent="0.35">
      <c r="A13" s="2" t="s">
        <v>16</v>
      </c>
      <c r="B13" s="2">
        <v>0.14463008999999999</v>
      </c>
      <c r="C13" s="2">
        <v>0.84786349999999999</v>
      </c>
      <c r="D13" s="2">
        <v>0.81228809999999996</v>
      </c>
      <c r="E13" s="2">
        <v>0.96481740000000005</v>
      </c>
      <c r="F13" s="2">
        <v>6.4931180000000005E-2</v>
      </c>
      <c r="G13" s="2">
        <v>-1.029407907</v>
      </c>
      <c r="H13" s="2">
        <v>0.78222453999999997</v>
      </c>
      <c r="I13" s="2">
        <v>-0.28986489999999998</v>
      </c>
    </row>
    <row r="14" spans="1:33" x14ac:dyDescent="0.35">
      <c r="A14" s="2" t="s">
        <v>16</v>
      </c>
      <c r="B14" s="2">
        <v>0.67378751000000003</v>
      </c>
      <c r="C14" s="2">
        <v>0.75325019999999998</v>
      </c>
      <c r="D14" s="2">
        <v>-0.78356619999999999</v>
      </c>
      <c r="E14" s="2">
        <v>1.6725715999999999</v>
      </c>
      <c r="F14" s="2">
        <v>0.16500081999999999</v>
      </c>
      <c r="G14" s="2">
        <v>-1.1236350070000001</v>
      </c>
      <c r="H14" s="2">
        <v>0.16606104999999999</v>
      </c>
      <c r="I14" s="2">
        <v>-0.15182000000000001</v>
      </c>
      <c r="L14" s="46" t="s">
        <v>973</v>
      </c>
    </row>
    <row r="15" spans="1:33" x14ac:dyDescent="0.35">
      <c r="A15" s="2" t="s">
        <v>16</v>
      </c>
      <c r="B15" s="2">
        <v>0.89896818000000001</v>
      </c>
      <c r="C15" s="2">
        <v>0.66754579999999997</v>
      </c>
      <c r="D15" s="2">
        <v>-1.2607889999999999</v>
      </c>
      <c r="E15" s="2">
        <v>1.9205483999999999</v>
      </c>
      <c r="F15" s="2">
        <v>0.94238301000000002</v>
      </c>
      <c r="G15" s="2">
        <v>-6.8601390000000003E-3</v>
      </c>
      <c r="H15" s="2">
        <v>1.74808008</v>
      </c>
      <c r="I15" s="2">
        <v>-0.20601138999999999</v>
      </c>
      <c r="L15" s="43" t="s">
        <v>931</v>
      </c>
      <c r="M15" s="43" t="s">
        <v>932</v>
      </c>
      <c r="N15" s="43" t="s">
        <v>933</v>
      </c>
      <c r="O15" s="43" t="s">
        <v>934</v>
      </c>
      <c r="P15" s="43" t="s">
        <v>935</v>
      </c>
    </row>
    <row r="16" spans="1:33" x14ac:dyDescent="0.35">
      <c r="A16" s="2" t="s">
        <v>16</v>
      </c>
      <c r="B16" s="2">
        <v>1.9496718500000001</v>
      </c>
      <c r="C16" s="2">
        <v>0.50392800000000004</v>
      </c>
      <c r="D16" s="2">
        <v>1.4681818</v>
      </c>
      <c r="E16" s="2">
        <v>2.2316688999999998</v>
      </c>
      <c r="F16" s="2">
        <v>1.3692345299999999</v>
      </c>
      <c r="G16" s="2">
        <v>0.46083446</v>
      </c>
      <c r="H16" s="2">
        <v>-1.05233449</v>
      </c>
      <c r="I16" s="2">
        <v>1.529237E-2</v>
      </c>
      <c r="L16" s="43" t="s">
        <v>992</v>
      </c>
      <c r="M16" s="43" t="s">
        <v>936</v>
      </c>
      <c r="N16" s="2">
        <v>21</v>
      </c>
      <c r="O16" s="43">
        <v>-0.63360000000000005</v>
      </c>
      <c r="P16" s="43">
        <v>0.53320000000000001</v>
      </c>
    </row>
    <row r="17" spans="1:20" x14ac:dyDescent="0.35">
      <c r="A17" s="2" t="s">
        <v>16</v>
      </c>
      <c r="B17" s="2">
        <v>1.32754241</v>
      </c>
      <c r="C17" s="2">
        <v>0.49651010000000001</v>
      </c>
      <c r="D17" s="2">
        <v>-1.4008121</v>
      </c>
      <c r="E17" s="2">
        <v>-0.40147929999999998</v>
      </c>
      <c r="F17" s="2">
        <v>0.165599</v>
      </c>
      <c r="G17" s="2">
        <v>0.103361763</v>
      </c>
      <c r="H17" s="2">
        <v>0.29263405999999997</v>
      </c>
      <c r="I17" s="2">
        <v>-0.14447307000000001</v>
      </c>
      <c r="L17" s="43" t="s">
        <v>993</v>
      </c>
      <c r="M17" s="43" t="s">
        <v>936</v>
      </c>
      <c r="N17" s="2">
        <v>20</v>
      </c>
      <c r="O17" s="43">
        <v>-0.49159999999999998</v>
      </c>
      <c r="P17" s="43">
        <v>0.62829999999999997</v>
      </c>
    </row>
    <row r="18" spans="1:20" x14ac:dyDescent="0.35">
      <c r="A18" s="24" t="s">
        <v>17</v>
      </c>
      <c r="B18" s="24">
        <v>-1.39875222</v>
      </c>
      <c r="C18" s="24">
        <v>-1.2558419000000001</v>
      </c>
      <c r="D18" s="24">
        <v>1.6990822999999999</v>
      </c>
      <c r="E18" s="24">
        <v>-0.91397669999999998</v>
      </c>
      <c r="F18" s="24">
        <v>-2.20038285</v>
      </c>
      <c r="G18" s="24">
        <v>1.6148630879999999</v>
      </c>
      <c r="H18" s="24">
        <v>1.2830746</v>
      </c>
      <c r="I18" s="24">
        <v>5.9440859999999998E-2</v>
      </c>
      <c r="L18" s="43" t="s">
        <v>994</v>
      </c>
      <c r="M18" s="43" t="s">
        <v>936</v>
      </c>
      <c r="N18" s="2">
        <v>20</v>
      </c>
      <c r="O18" s="43">
        <v>-0.82069999999999999</v>
      </c>
      <c r="P18" s="43">
        <v>0.42149999999999999</v>
      </c>
    </row>
    <row r="19" spans="1:20" x14ac:dyDescent="0.35">
      <c r="A19" s="24" t="s">
        <v>17</v>
      </c>
      <c r="B19" s="24">
        <v>7.8131469999999995E-2</v>
      </c>
      <c r="C19" s="24">
        <v>-1.3628804999999999</v>
      </c>
      <c r="D19" s="24">
        <v>-1.4326435</v>
      </c>
      <c r="E19" s="24">
        <v>0.2183427</v>
      </c>
      <c r="F19" s="24">
        <v>-3.4259353400000001</v>
      </c>
      <c r="G19" s="24">
        <v>0.71916375899999996</v>
      </c>
      <c r="H19" s="24">
        <v>2.4066862699999998</v>
      </c>
      <c r="I19" s="24">
        <v>0.13725172999999999</v>
      </c>
      <c r="L19" s="43" t="s">
        <v>995</v>
      </c>
      <c r="M19" s="43" t="s">
        <v>936</v>
      </c>
      <c r="N19" s="2">
        <v>19</v>
      </c>
      <c r="O19" s="43">
        <v>-1.9402999999999999</v>
      </c>
      <c r="P19" s="43">
        <v>6.7299999999999999E-2</v>
      </c>
    </row>
    <row r="20" spans="1:20" x14ac:dyDescent="0.35">
      <c r="A20" s="24" t="s">
        <v>17</v>
      </c>
      <c r="B20" s="24">
        <v>-2.2064372699999999</v>
      </c>
      <c r="C20" s="24">
        <v>-1.4036036000000001</v>
      </c>
      <c r="D20" s="24">
        <v>-1.9143851000000001</v>
      </c>
      <c r="E20" s="24">
        <v>1.1217271</v>
      </c>
      <c r="F20" s="24">
        <v>-2.8094299500000002</v>
      </c>
      <c r="G20" s="24">
        <v>2.6754711919999998</v>
      </c>
      <c r="H20" s="24">
        <v>2.0003849599999999</v>
      </c>
      <c r="I20" s="24">
        <v>0.29016846000000002</v>
      </c>
      <c r="L20" s="43" t="s">
        <v>996</v>
      </c>
      <c r="M20" s="43" t="s">
        <v>936</v>
      </c>
      <c r="N20" s="2">
        <v>20</v>
      </c>
      <c r="O20" s="43">
        <v>-0.81950000000000001</v>
      </c>
      <c r="P20" s="43">
        <v>0.42209999999999998</v>
      </c>
    </row>
    <row r="21" spans="1:20" x14ac:dyDescent="0.35">
      <c r="A21" s="24" t="s">
        <v>17</v>
      </c>
      <c r="B21" s="24">
        <v>1.71559511</v>
      </c>
      <c r="C21" s="24">
        <v>-1.5554421</v>
      </c>
      <c r="D21" s="24">
        <v>-0.53924130000000003</v>
      </c>
      <c r="E21" s="24">
        <v>0.78413359999999999</v>
      </c>
      <c r="F21" s="24">
        <v>-3.2934692600000002</v>
      </c>
      <c r="G21" s="24">
        <v>1.5944043880000001</v>
      </c>
      <c r="H21" s="24">
        <v>2.23685738</v>
      </c>
      <c r="I21" s="24">
        <v>6.0667800000000001E-2</v>
      </c>
      <c r="L21" s="43" t="s">
        <v>997</v>
      </c>
      <c r="M21" s="43" t="s">
        <v>936</v>
      </c>
      <c r="N21" s="2">
        <v>19</v>
      </c>
      <c r="O21" s="43">
        <v>1.0327999999999999</v>
      </c>
      <c r="P21" s="43">
        <v>0.31469999999999998</v>
      </c>
    </row>
    <row r="22" spans="1:20" x14ac:dyDescent="0.35">
      <c r="A22" s="24" t="s">
        <v>17</v>
      </c>
      <c r="B22" s="24">
        <v>-1.7565765200000001</v>
      </c>
      <c r="C22" s="24">
        <v>-1.6045301000000001</v>
      </c>
      <c r="D22" s="24">
        <v>-1.8072424</v>
      </c>
      <c r="E22" s="24">
        <v>3.2553315</v>
      </c>
      <c r="F22" s="24">
        <v>-2.2531478599999999</v>
      </c>
      <c r="G22" s="24">
        <v>0.60785811899999997</v>
      </c>
      <c r="H22" s="24">
        <v>3.09153141</v>
      </c>
      <c r="I22" s="24">
        <v>0.12770892</v>
      </c>
    </row>
    <row r="23" spans="1:20" x14ac:dyDescent="0.35">
      <c r="A23" s="2" t="s">
        <v>18</v>
      </c>
      <c r="B23" s="2">
        <v>-0.51550479999999999</v>
      </c>
      <c r="C23" s="2">
        <v>-2.4406105999999999</v>
      </c>
      <c r="D23" s="2">
        <v>-0.275474</v>
      </c>
      <c r="E23" s="2">
        <v>-2.6148492000000001</v>
      </c>
      <c r="F23" s="2">
        <v>0.79586336999999996</v>
      </c>
      <c r="G23" s="2">
        <v>0.77890479800000001</v>
      </c>
      <c r="H23" s="2">
        <v>-0.88258899000000002</v>
      </c>
      <c r="I23" s="2">
        <v>-0.65522005999999999</v>
      </c>
      <c r="L23" s="46" t="s">
        <v>974</v>
      </c>
    </row>
    <row r="24" spans="1:20" x14ac:dyDescent="0.35">
      <c r="A24" s="2" t="s">
        <v>18</v>
      </c>
      <c r="B24" s="2">
        <v>0.61277826000000002</v>
      </c>
      <c r="C24" s="2">
        <v>-2.5290343000000002</v>
      </c>
      <c r="D24" s="2">
        <v>-0.91687529999999995</v>
      </c>
      <c r="E24" s="2">
        <v>-1.3377543000000001</v>
      </c>
      <c r="F24" s="2">
        <v>1.36626169</v>
      </c>
      <c r="G24" s="2">
        <v>1.136567184</v>
      </c>
      <c r="H24" s="2">
        <v>1.0608670099999999</v>
      </c>
      <c r="I24" s="2">
        <v>-0.44836440999999999</v>
      </c>
      <c r="L24" s="2" t="s">
        <v>998</v>
      </c>
    </row>
    <row r="25" spans="1:20" x14ac:dyDescent="0.35">
      <c r="A25" s="2" t="s">
        <v>18</v>
      </c>
      <c r="B25" s="2">
        <v>-1.74319991</v>
      </c>
      <c r="C25" s="2">
        <v>-2.5764345</v>
      </c>
      <c r="D25" s="2">
        <v>0.51843030000000001</v>
      </c>
      <c r="E25" s="2">
        <v>0.61730949999999996</v>
      </c>
      <c r="F25" s="2">
        <v>0.61825242000000002</v>
      </c>
      <c r="G25" s="2">
        <v>0.97590249699999998</v>
      </c>
      <c r="H25" s="2">
        <v>0.18523212999999999</v>
      </c>
      <c r="I25" s="2">
        <v>-0.66814658999999998</v>
      </c>
      <c r="L25" s="2" t="s">
        <v>999</v>
      </c>
    </row>
    <row r="26" spans="1:20" x14ac:dyDescent="0.35">
      <c r="A26" s="2" t="s">
        <v>18</v>
      </c>
      <c r="B26" s="2">
        <v>0.44174430999999997</v>
      </c>
      <c r="C26" s="2">
        <v>-2.6249180999999999</v>
      </c>
      <c r="D26" s="2">
        <v>-1.6435868</v>
      </c>
      <c r="E26" s="2">
        <v>-0.36958790000000002</v>
      </c>
      <c r="F26" s="2">
        <v>-0.55848931000000002</v>
      </c>
      <c r="G26" s="2">
        <v>8.4538124000000006E-2</v>
      </c>
      <c r="H26" s="2">
        <v>0.28460270999999998</v>
      </c>
      <c r="I26" s="2">
        <v>-0.63606585999999998</v>
      </c>
    </row>
    <row r="27" spans="1:20" x14ac:dyDescent="0.35">
      <c r="A27" s="2" t="s">
        <v>18</v>
      </c>
      <c r="B27" s="2">
        <v>-2.9837902700000001</v>
      </c>
      <c r="C27" s="2">
        <v>-2.6811213</v>
      </c>
      <c r="D27" s="2">
        <v>0.72919049999999996</v>
      </c>
      <c r="E27" s="2">
        <v>-0.43721500000000002</v>
      </c>
      <c r="F27" s="2">
        <v>-0.32526496999999999</v>
      </c>
      <c r="G27" s="2">
        <v>0.51888522100000001</v>
      </c>
      <c r="H27" s="2">
        <v>0.46105656</v>
      </c>
      <c r="I27" s="2">
        <v>-0.76356042000000002</v>
      </c>
      <c r="L27" s="46" t="s">
        <v>975</v>
      </c>
    </row>
    <row r="28" spans="1:20" x14ac:dyDescent="0.35">
      <c r="L28" s="2" t="s">
        <v>941</v>
      </c>
      <c r="M28" s="2" t="s">
        <v>942</v>
      </c>
      <c r="N28" s="2" t="s">
        <v>868</v>
      </c>
      <c r="O28" s="2" t="s">
        <v>943</v>
      </c>
      <c r="P28" s="2" t="s">
        <v>933</v>
      </c>
      <c r="Q28" s="2" t="s">
        <v>934</v>
      </c>
      <c r="R28" s="2" t="s">
        <v>935</v>
      </c>
      <c r="S28" s="2" t="s">
        <v>944</v>
      </c>
    </row>
    <row r="29" spans="1:20" x14ac:dyDescent="0.35">
      <c r="A29" s="1" t="s">
        <v>604</v>
      </c>
      <c r="L29" s="2" t="s">
        <v>787</v>
      </c>
      <c r="M29" s="2" t="s">
        <v>784</v>
      </c>
      <c r="N29" s="2">
        <v>3.1E-2</v>
      </c>
      <c r="O29" s="2">
        <v>0.1608</v>
      </c>
      <c r="P29" s="2">
        <v>22</v>
      </c>
      <c r="Q29" s="2">
        <v>0.19259999999999999</v>
      </c>
      <c r="R29" s="2">
        <v>0.84899999999999998</v>
      </c>
      <c r="S29" s="2">
        <v>3.1800000000000002E-2</v>
      </c>
    </row>
    <row r="30" spans="1:20" x14ac:dyDescent="0.35">
      <c r="A30" s="2" t="s">
        <v>669</v>
      </c>
      <c r="L30" s="2" t="s">
        <v>787</v>
      </c>
      <c r="M30" s="2" t="s">
        <v>927</v>
      </c>
      <c r="N30" s="2">
        <v>1.4785999999999999</v>
      </c>
      <c r="O30" s="2">
        <v>0.36599999999999999</v>
      </c>
      <c r="P30" s="2">
        <v>22</v>
      </c>
      <c r="Q30" s="2">
        <v>4.0396000000000001</v>
      </c>
      <c r="R30" s="45">
        <v>5.0000000000000001E-4</v>
      </c>
      <c r="S30" s="2">
        <v>0.66710000000000003</v>
      </c>
      <c r="T30" s="2" t="s">
        <v>937</v>
      </c>
    </row>
    <row r="31" spans="1:20" x14ac:dyDescent="0.35">
      <c r="A31" s="2" t="s">
        <v>979</v>
      </c>
      <c r="L31" s="2" t="s">
        <v>927</v>
      </c>
      <c r="M31" s="2" t="s">
        <v>784</v>
      </c>
      <c r="N31" s="2">
        <v>0.13819999999999999</v>
      </c>
      <c r="O31" s="2">
        <v>8.6999999999999994E-2</v>
      </c>
      <c r="P31" s="2">
        <v>23</v>
      </c>
      <c r="Q31" s="2">
        <v>1.5888</v>
      </c>
      <c r="R31" s="2">
        <v>0.1258</v>
      </c>
      <c r="S31" s="2">
        <v>0.3145</v>
      </c>
    </row>
    <row r="32" spans="1:20" x14ac:dyDescent="0.35">
      <c r="A32" s="9" t="s">
        <v>946</v>
      </c>
      <c r="L32" s="2" t="s">
        <v>789</v>
      </c>
      <c r="M32" s="2" t="s">
        <v>784</v>
      </c>
      <c r="N32" s="2">
        <v>0.51759999999999995</v>
      </c>
      <c r="O32" s="2">
        <v>0.1704</v>
      </c>
      <c r="P32" s="2">
        <v>21</v>
      </c>
      <c r="Q32" s="2">
        <v>3.0367000000000002</v>
      </c>
      <c r="R32" s="2">
        <v>6.3E-3</v>
      </c>
      <c r="S32" s="2">
        <v>0.55630000000000002</v>
      </c>
      <c r="T32" s="2" t="s">
        <v>939</v>
      </c>
    </row>
    <row r="33" spans="1:20" x14ac:dyDescent="0.35">
      <c r="A33" s="2" t="s">
        <v>947</v>
      </c>
      <c r="L33" s="2" t="s">
        <v>789</v>
      </c>
      <c r="M33" s="2" t="s">
        <v>787</v>
      </c>
      <c r="N33" s="2">
        <v>0.33860000000000001</v>
      </c>
      <c r="O33" s="2">
        <v>0.22570000000000001</v>
      </c>
      <c r="P33" s="2">
        <v>21</v>
      </c>
      <c r="Q33" s="2">
        <v>1.5</v>
      </c>
      <c r="R33" s="2">
        <v>0.14849999999999999</v>
      </c>
      <c r="S33" s="2">
        <v>0.35449999999999998</v>
      </c>
    </row>
    <row r="34" spans="1:20" x14ac:dyDescent="0.35">
      <c r="A34" s="2" t="s">
        <v>948</v>
      </c>
      <c r="L34" s="2" t="s">
        <v>789</v>
      </c>
      <c r="M34" s="2" t="s">
        <v>927</v>
      </c>
      <c r="N34" s="2">
        <v>-1.0647</v>
      </c>
      <c r="O34" s="2">
        <v>0.51149999999999995</v>
      </c>
      <c r="P34" s="2">
        <v>21</v>
      </c>
      <c r="Q34" s="2">
        <v>-2.0815999999999999</v>
      </c>
      <c r="R34" s="2">
        <v>4.9799999999999997E-2</v>
      </c>
      <c r="S34" s="2">
        <v>-0.50290000000000001</v>
      </c>
      <c r="T34" s="2" t="s">
        <v>938</v>
      </c>
    </row>
    <row r="35" spans="1:20" x14ac:dyDescent="0.35">
      <c r="A35" s="2" t="s">
        <v>949</v>
      </c>
      <c r="L35" s="2" t="s">
        <v>790</v>
      </c>
      <c r="M35" s="2" t="s">
        <v>784</v>
      </c>
      <c r="N35" s="2">
        <v>-0.59440000000000004</v>
      </c>
      <c r="O35" s="2">
        <v>9.1800000000000007E-2</v>
      </c>
      <c r="P35" s="2">
        <v>21</v>
      </c>
      <c r="Q35" s="2">
        <v>-6.4737</v>
      </c>
      <c r="R35" s="2">
        <v>0</v>
      </c>
      <c r="S35" s="2">
        <v>-0.8296</v>
      </c>
      <c r="T35" s="2" t="s">
        <v>937</v>
      </c>
    </row>
    <row r="36" spans="1:20" x14ac:dyDescent="0.35">
      <c r="A36" s="2" t="s">
        <v>951</v>
      </c>
      <c r="L36" s="2" t="s">
        <v>790</v>
      </c>
      <c r="M36" s="2" t="s">
        <v>787</v>
      </c>
      <c r="N36" s="2">
        <v>-0.16769999999999999</v>
      </c>
      <c r="O36" s="2">
        <v>0.1216</v>
      </c>
      <c r="P36" s="2">
        <v>21</v>
      </c>
      <c r="Q36" s="2">
        <v>-1.3792</v>
      </c>
      <c r="R36" s="2">
        <v>0.18240000000000001</v>
      </c>
      <c r="S36" s="2">
        <v>-0.22800000000000001</v>
      </c>
    </row>
    <row r="37" spans="1:20" x14ac:dyDescent="0.35">
      <c r="A37" s="2" t="s">
        <v>950</v>
      </c>
      <c r="L37" s="2" t="s">
        <v>790</v>
      </c>
      <c r="M37" s="2" t="s">
        <v>927</v>
      </c>
      <c r="N37" s="2">
        <v>0.96220000000000006</v>
      </c>
      <c r="O37" s="2">
        <v>0.27550000000000002</v>
      </c>
      <c r="P37" s="2">
        <v>21</v>
      </c>
      <c r="Q37" s="2">
        <v>3.4922</v>
      </c>
      <c r="R37" s="2">
        <v>2.2000000000000001E-3</v>
      </c>
      <c r="S37" s="2">
        <v>0.59009999999999996</v>
      </c>
      <c r="T37" s="2" t="s">
        <v>939</v>
      </c>
    </row>
    <row r="38" spans="1:20" x14ac:dyDescent="0.35">
      <c r="A38" s="2" t="s">
        <v>952</v>
      </c>
      <c r="L38" s="2" t="s">
        <v>788</v>
      </c>
      <c r="M38" s="2" t="s">
        <v>787</v>
      </c>
      <c r="N38" s="2">
        <v>-0.1217</v>
      </c>
      <c r="O38" s="2">
        <v>0.28439999999999999</v>
      </c>
      <c r="P38" s="2">
        <v>22</v>
      </c>
      <c r="Q38" s="2">
        <v>-0.42780000000000001</v>
      </c>
      <c r="R38" s="2">
        <v>0.67290000000000005</v>
      </c>
      <c r="S38" s="2">
        <v>-0.1207</v>
      </c>
    </row>
    <row r="39" spans="1:20" x14ac:dyDescent="0.35">
      <c r="A39" s="2" t="s">
        <v>953</v>
      </c>
      <c r="L39" s="2" t="s">
        <v>788</v>
      </c>
      <c r="M39" s="2" t="s">
        <v>927</v>
      </c>
      <c r="N39" s="2">
        <v>0.65369999999999995</v>
      </c>
      <c r="O39" s="2">
        <v>0.63049999999999995</v>
      </c>
      <c r="P39" s="2">
        <v>22</v>
      </c>
      <c r="Q39" s="2">
        <v>1.0368999999999999</v>
      </c>
      <c r="R39" s="2">
        <v>0.31109999999999999</v>
      </c>
      <c r="S39" s="2">
        <v>0.29239999999999999</v>
      </c>
    </row>
    <row r="40" spans="1:20" x14ac:dyDescent="0.35">
      <c r="A40" s="2" t="s">
        <v>972</v>
      </c>
      <c r="L40" s="2" t="s">
        <v>791</v>
      </c>
      <c r="M40" s="2" t="s">
        <v>788</v>
      </c>
      <c r="N40" s="2">
        <v>0.37290000000000001</v>
      </c>
      <c r="O40" s="2">
        <v>0.1002</v>
      </c>
      <c r="P40" s="2">
        <v>20</v>
      </c>
      <c r="Q40" s="2">
        <v>3.7208000000000001</v>
      </c>
      <c r="R40" s="2">
        <v>1.4E-3</v>
      </c>
      <c r="S40" s="2">
        <v>0.41160000000000002</v>
      </c>
      <c r="T40" s="2" t="s">
        <v>939</v>
      </c>
    </row>
    <row r="41" spans="1:20" x14ac:dyDescent="0.35">
      <c r="A41" s="2" t="s">
        <v>954</v>
      </c>
      <c r="L41" s="2" t="s">
        <v>791</v>
      </c>
      <c r="M41" s="2" t="s">
        <v>784</v>
      </c>
      <c r="N41" s="2">
        <v>-0.56459999999999999</v>
      </c>
      <c r="O41" s="2">
        <v>0.10100000000000001</v>
      </c>
      <c r="P41" s="2">
        <v>20</v>
      </c>
      <c r="Q41" s="2">
        <v>-5.5877999999999997</v>
      </c>
      <c r="R41" s="45">
        <v>0</v>
      </c>
      <c r="S41" s="2">
        <v>-0.63439999999999996</v>
      </c>
      <c r="T41" s="2" t="s">
        <v>937</v>
      </c>
    </row>
    <row r="42" spans="1:20" x14ac:dyDescent="0.35">
      <c r="A42" s="2" t="s">
        <v>955</v>
      </c>
      <c r="L42" s="2" t="s">
        <v>791</v>
      </c>
      <c r="M42" s="2" t="s">
        <v>787</v>
      </c>
      <c r="N42" s="2">
        <v>-0.45590000000000003</v>
      </c>
      <c r="O42" s="2">
        <v>0.1331</v>
      </c>
      <c r="P42" s="2">
        <v>20</v>
      </c>
      <c r="Q42" s="2">
        <v>-3.4262999999999999</v>
      </c>
      <c r="R42" s="2">
        <v>2.7000000000000001E-3</v>
      </c>
      <c r="S42" s="2">
        <v>-0.49890000000000001</v>
      </c>
      <c r="T42" s="2" t="s">
        <v>939</v>
      </c>
    </row>
    <row r="43" spans="1:20" x14ac:dyDescent="0.35">
      <c r="A43" s="2" t="s">
        <v>956</v>
      </c>
      <c r="L43" s="2" t="s">
        <v>791</v>
      </c>
      <c r="M43" s="2" t="s">
        <v>927</v>
      </c>
      <c r="N43" s="2">
        <v>0.94679999999999997</v>
      </c>
      <c r="O43" s="2">
        <v>0.30940000000000001</v>
      </c>
      <c r="P43" s="2">
        <v>20</v>
      </c>
      <c r="Q43" s="2">
        <v>3.0598000000000001</v>
      </c>
      <c r="R43" s="2">
        <v>6.1999999999999998E-3</v>
      </c>
      <c r="S43" s="2">
        <v>0.46739999999999998</v>
      </c>
      <c r="T43" s="2" t="s">
        <v>939</v>
      </c>
    </row>
    <row r="44" spans="1:20" x14ac:dyDescent="0.35">
      <c r="A44" s="2" t="s">
        <v>957</v>
      </c>
      <c r="L44" s="2" t="s">
        <v>940</v>
      </c>
      <c r="M44" s="2" t="s">
        <v>784</v>
      </c>
      <c r="N44" s="2">
        <v>-9.6699999999999994E-2</v>
      </c>
      <c r="O44" s="2">
        <v>0.36399999999999999</v>
      </c>
      <c r="P44" s="2">
        <v>17</v>
      </c>
      <c r="Q44" s="2">
        <v>-0.26579999999999998</v>
      </c>
      <c r="R44" s="2">
        <v>0.79359999999999997</v>
      </c>
      <c r="S44" s="2">
        <v>-0.10630000000000001</v>
      </c>
    </row>
    <row r="45" spans="1:20" x14ac:dyDescent="0.35">
      <c r="A45" s="2" t="s">
        <v>958</v>
      </c>
      <c r="L45" s="2" t="s">
        <v>940</v>
      </c>
      <c r="M45" s="2" t="s">
        <v>787</v>
      </c>
      <c r="N45" s="2">
        <v>-0.14499999999999999</v>
      </c>
      <c r="O45" s="2">
        <v>0.30449999999999999</v>
      </c>
      <c r="P45" s="2">
        <v>17</v>
      </c>
      <c r="Q45" s="2">
        <v>-0.47620000000000001</v>
      </c>
      <c r="R45" s="2">
        <v>0.64</v>
      </c>
      <c r="S45" s="2">
        <v>-0.15509999999999999</v>
      </c>
    </row>
    <row r="46" spans="1:20" x14ac:dyDescent="0.35">
      <c r="A46" s="2" t="s">
        <v>959</v>
      </c>
      <c r="L46" s="2" t="s">
        <v>940</v>
      </c>
      <c r="M46" s="2" t="s">
        <v>927</v>
      </c>
      <c r="N46" s="2">
        <v>1.3210999999999999</v>
      </c>
      <c r="O46" s="2">
        <v>0.77110000000000001</v>
      </c>
      <c r="P46" s="2">
        <v>17</v>
      </c>
      <c r="Q46" s="2">
        <v>1.7133</v>
      </c>
      <c r="R46" s="2">
        <v>0.1048</v>
      </c>
      <c r="S46" s="2">
        <v>0.63780000000000003</v>
      </c>
    </row>
    <row r="47" spans="1:20" x14ac:dyDescent="0.35">
      <c r="A47" s="9" t="s">
        <v>960</v>
      </c>
      <c r="L47" s="2" t="s">
        <v>940</v>
      </c>
      <c r="M47" s="2" t="s">
        <v>788</v>
      </c>
      <c r="N47" s="2">
        <v>0.2016</v>
      </c>
      <c r="O47" s="2">
        <v>0.2467</v>
      </c>
      <c r="P47" s="2">
        <v>17</v>
      </c>
      <c r="Q47" s="2">
        <v>0.81689999999999996</v>
      </c>
      <c r="R47" s="2">
        <v>0.42530000000000001</v>
      </c>
      <c r="S47" s="2">
        <v>0.2175</v>
      </c>
    </row>
    <row r="48" spans="1:20" x14ac:dyDescent="0.35">
      <c r="A48" s="2" t="s">
        <v>980</v>
      </c>
      <c r="L48" s="2" t="s">
        <v>940</v>
      </c>
      <c r="M48" s="2" t="s">
        <v>789</v>
      </c>
      <c r="N48" s="2">
        <v>0.36420000000000002</v>
      </c>
      <c r="O48" s="2">
        <v>0.25769999999999998</v>
      </c>
      <c r="P48" s="2">
        <v>17</v>
      </c>
      <c r="Q48" s="2">
        <v>1.413</v>
      </c>
      <c r="R48" s="2">
        <v>0.1757</v>
      </c>
      <c r="S48" s="2">
        <v>0.37219999999999998</v>
      </c>
    </row>
    <row r="49" spans="1:19" x14ac:dyDescent="0.35">
      <c r="A49" s="2" t="s">
        <v>981</v>
      </c>
      <c r="L49" s="2" t="s">
        <v>940</v>
      </c>
      <c r="M49" s="2" t="s">
        <v>790</v>
      </c>
      <c r="N49" s="2">
        <v>-0.2203</v>
      </c>
      <c r="O49" s="2">
        <v>0.44919999999999999</v>
      </c>
      <c r="P49" s="2">
        <v>17</v>
      </c>
      <c r="Q49" s="2">
        <v>-0.4904</v>
      </c>
      <c r="R49" s="2">
        <v>0.63009999999999999</v>
      </c>
      <c r="S49" s="2">
        <v>-0.1734</v>
      </c>
    </row>
    <row r="50" spans="1:19" x14ac:dyDescent="0.35">
      <c r="A50" s="2" t="s">
        <v>961</v>
      </c>
      <c r="L50" s="2" t="s">
        <v>940</v>
      </c>
      <c r="M50" s="2" t="s">
        <v>791</v>
      </c>
      <c r="N50" s="2">
        <v>3.8100000000000002E-2</v>
      </c>
      <c r="O50" s="2">
        <v>0.4496</v>
      </c>
      <c r="P50" s="2">
        <v>17</v>
      </c>
      <c r="Q50" s="2">
        <v>8.48E-2</v>
      </c>
      <c r="R50" s="2">
        <v>0.93340000000000001</v>
      </c>
      <c r="S50" s="2">
        <v>3.73E-2</v>
      </c>
    </row>
    <row r="51" spans="1:19" x14ac:dyDescent="0.35">
      <c r="A51" s="2" t="s">
        <v>962</v>
      </c>
    </row>
    <row r="52" spans="1:19" x14ac:dyDescent="0.35">
      <c r="A52" s="9" t="s">
        <v>963</v>
      </c>
      <c r="L52" s="46" t="s">
        <v>976</v>
      </c>
    </row>
    <row r="53" spans="1:19" x14ac:dyDescent="0.35">
      <c r="A53" s="2" t="s">
        <v>964</v>
      </c>
      <c r="L53" s="2" t="s">
        <v>941</v>
      </c>
      <c r="M53" s="2" t="s">
        <v>945</v>
      </c>
    </row>
    <row r="54" spans="1:19" x14ac:dyDescent="0.35">
      <c r="A54" s="2" t="s">
        <v>965</v>
      </c>
      <c r="L54" s="2" t="s">
        <v>787</v>
      </c>
      <c r="M54" s="2">
        <v>0.45936884944188999</v>
      </c>
    </row>
    <row r="55" spans="1:19" x14ac:dyDescent="0.35">
      <c r="A55" s="2" t="s">
        <v>966</v>
      </c>
      <c r="L55" s="2" t="s">
        <v>927</v>
      </c>
      <c r="M55" s="2">
        <v>9.8894674112972106E-2</v>
      </c>
    </row>
    <row r="56" spans="1:19" x14ac:dyDescent="0.35">
      <c r="A56" s="2" t="s">
        <v>967</v>
      </c>
      <c r="L56" s="2" t="s">
        <v>789</v>
      </c>
      <c r="M56" s="2">
        <v>0.36596319153524198</v>
      </c>
    </row>
    <row r="57" spans="1:19" x14ac:dyDescent="0.35">
      <c r="A57" s="2" t="s">
        <v>982</v>
      </c>
      <c r="L57" s="2" t="s">
        <v>790</v>
      </c>
      <c r="M57" s="2">
        <v>0.68975586101093</v>
      </c>
    </row>
    <row r="58" spans="1:19" x14ac:dyDescent="0.35">
      <c r="A58" s="2" t="s">
        <v>968</v>
      </c>
      <c r="L58" s="2" t="s">
        <v>788</v>
      </c>
      <c r="M58" s="2">
        <v>5.22966706429666E-2</v>
      </c>
    </row>
    <row r="59" spans="1:19" x14ac:dyDescent="0.35">
      <c r="A59" s="2" t="s">
        <v>983</v>
      </c>
      <c r="L59" s="2" t="s">
        <v>791</v>
      </c>
      <c r="M59" s="2">
        <v>0.77243483358121101</v>
      </c>
    </row>
    <row r="60" spans="1:19" x14ac:dyDescent="0.35">
      <c r="A60" s="2" t="s">
        <v>969</v>
      </c>
      <c r="L60" s="2" t="s">
        <v>940</v>
      </c>
      <c r="M60" s="2">
        <v>0.39812450308339498</v>
      </c>
    </row>
    <row r="61" spans="1:19" x14ac:dyDescent="0.35">
      <c r="A61" s="2" t="s">
        <v>984</v>
      </c>
    </row>
    <row r="62" spans="1:19" x14ac:dyDescent="0.35">
      <c r="A62" s="2" t="s">
        <v>985</v>
      </c>
    </row>
  </sheetData>
  <mergeCells count="2">
    <mergeCell ref="L1:R1"/>
    <mergeCell ref="A1:I1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766AC-6721-4DD1-B864-12B1E122A97A}">
  <dimension ref="A1:N42"/>
  <sheetViews>
    <sheetView topLeftCell="A10" zoomScale="85" zoomScaleNormal="85" workbookViewId="0">
      <selection activeCell="C20" sqref="C20"/>
    </sheetView>
  </sheetViews>
  <sheetFormatPr defaultRowHeight="14.15" x14ac:dyDescent="0.35"/>
  <cols>
    <col min="1" max="16384" width="9.140625" style="2"/>
  </cols>
  <sheetData>
    <row r="1" spans="1:14" s="1" customFormat="1" x14ac:dyDescent="0.35">
      <c r="A1" s="75" t="s">
        <v>706</v>
      </c>
      <c r="B1" s="75"/>
      <c r="C1" s="75"/>
      <c r="E1" s="73" t="s">
        <v>707</v>
      </c>
      <c r="F1" s="73"/>
      <c r="G1" s="73"/>
      <c r="N1" s="2"/>
    </row>
    <row r="2" spans="1:14" x14ac:dyDescent="0.35">
      <c r="A2" s="2" t="s">
        <v>160</v>
      </c>
      <c r="B2" s="2" t="s">
        <v>694</v>
      </c>
      <c r="C2" s="2" t="s">
        <v>695</v>
      </c>
      <c r="E2" s="2" t="s">
        <v>160</v>
      </c>
      <c r="F2" s="2" t="s">
        <v>694</v>
      </c>
      <c r="G2" s="2" t="s">
        <v>695</v>
      </c>
    </row>
    <row r="3" spans="1:14" x14ac:dyDescent="0.35">
      <c r="A3" s="2" t="s">
        <v>14</v>
      </c>
      <c r="B3" s="2">
        <v>-0.230971128268081</v>
      </c>
      <c r="C3" s="2">
        <v>-0.200942923433788</v>
      </c>
      <c r="E3" s="2" t="s">
        <v>14</v>
      </c>
      <c r="F3" s="2">
        <v>-0.86280358000000001</v>
      </c>
      <c r="G3" s="2">
        <v>-0.34528491</v>
      </c>
    </row>
    <row r="4" spans="1:14" x14ac:dyDescent="0.35">
      <c r="A4" s="2" t="s">
        <v>14</v>
      </c>
      <c r="B4" s="2">
        <v>-1.28115227207264</v>
      </c>
      <c r="C4" s="2">
        <v>-0.15161014648255</v>
      </c>
      <c r="E4" s="2" t="s">
        <v>15</v>
      </c>
      <c r="F4" s="2">
        <v>2.1713139999999999E-2</v>
      </c>
      <c r="G4" s="2">
        <v>-0.49620429999999999</v>
      </c>
    </row>
    <row r="5" spans="1:14" x14ac:dyDescent="0.35">
      <c r="A5" s="2" t="s">
        <v>14</v>
      </c>
      <c r="B5" s="2">
        <v>-1.09365921332983</v>
      </c>
      <c r="C5" s="2">
        <v>-0.22520152141861499</v>
      </c>
      <c r="E5" s="2" t="s">
        <v>16</v>
      </c>
      <c r="F5" s="2">
        <v>0.14205367999999999</v>
      </c>
      <c r="G5" s="2">
        <v>0.59734169000000004</v>
      </c>
    </row>
    <row r="6" spans="1:14" x14ac:dyDescent="0.35">
      <c r="A6" s="2" t="s">
        <v>14</v>
      </c>
      <c r="B6" s="2">
        <v>-0.97372605606538298</v>
      </c>
      <c r="C6" s="2">
        <v>-0.63672294202306001</v>
      </c>
      <c r="E6" s="2" t="s">
        <v>17</v>
      </c>
      <c r="F6" s="2">
        <v>0.12014167000000001</v>
      </c>
      <c r="G6" s="2">
        <v>0.2588569</v>
      </c>
    </row>
    <row r="7" spans="1:14" x14ac:dyDescent="0.35">
      <c r="A7" s="2" t="s">
        <v>14</v>
      </c>
      <c r="B7" s="2">
        <v>-0.73450922127851603</v>
      </c>
      <c r="C7" s="2">
        <v>-0.51194700409607197</v>
      </c>
      <c r="E7" s="2" t="s">
        <v>18</v>
      </c>
      <c r="F7" s="2">
        <v>0.57889508999999995</v>
      </c>
      <c r="G7" s="2">
        <v>-1.47093E-2</v>
      </c>
    </row>
    <row r="8" spans="1:14" x14ac:dyDescent="0.35">
      <c r="A8" s="24" t="s">
        <v>15</v>
      </c>
      <c r="B8" s="24">
        <v>-0.28648182650343801</v>
      </c>
      <c r="C8" s="24">
        <v>-0.96090745820563195</v>
      </c>
    </row>
    <row r="9" spans="1:14" x14ac:dyDescent="0.35">
      <c r="A9" s="24" t="s">
        <v>15</v>
      </c>
      <c r="B9" s="24">
        <v>-2.8536081316169501E-3</v>
      </c>
      <c r="C9" s="24">
        <v>-0.18492299803001899</v>
      </c>
    </row>
    <row r="10" spans="1:14" x14ac:dyDescent="0.35">
      <c r="A10" s="24" t="s">
        <v>15</v>
      </c>
      <c r="B10" s="24">
        <v>-9.1599693790913206E-2</v>
      </c>
      <c r="C10" s="24">
        <v>-0.22379606220386999</v>
      </c>
    </row>
    <row r="11" spans="1:14" x14ac:dyDescent="0.35">
      <c r="A11" s="24" t="s">
        <v>15</v>
      </c>
      <c r="B11" s="24">
        <v>0.33271268984321001</v>
      </c>
      <c r="C11" s="24">
        <v>-0.25118029873141701</v>
      </c>
    </row>
    <row r="12" spans="1:14" x14ac:dyDescent="0.35">
      <c r="A12" s="24" t="s">
        <v>15</v>
      </c>
      <c r="B12" s="24">
        <v>0.15678811690203501</v>
      </c>
      <c r="C12" s="24">
        <v>-0.86021468966068504</v>
      </c>
    </row>
    <row r="13" spans="1:14" x14ac:dyDescent="0.35">
      <c r="A13" s="2" t="s">
        <v>16</v>
      </c>
      <c r="B13" s="2">
        <v>0.58976404392284898</v>
      </c>
      <c r="C13" s="2">
        <v>4.2932547831736098E-2</v>
      </c>
    </row>
    <row r="14" spans="1:14" x14ac:dyDescent="0.35">
      <c r="A14" s="2" t="s">
        <v>16</v>
      </c>
      <c r="B14" s="2">
        <v>0.44525147246447799</v>
      </c>
      <c r="C14" s="2">
        <v>-7.9107538482870804E-2</v>
      </c>
    </row>
    <row r="15" spans="1:14" x14ac:dyDescent="0.35">
      <c r="A15" s="2" t="s">
        <v>16</v>
      </c>
      <c r="B15" s="2">
        <v>0.231046979366372</v>
      </c>
      <c r="C15" s="2">
        <v>0.87883061050011402</v>
      </c>
    </row>
    <row r="16" spans="1:14" x14ac:dyDescent="0.35">
      <c r="A16" s="2" t="s">
        <v>16</v>
      </c>
      <c r="B16" s="2">
        <v>-0.80120345327877496</v>
      </c>
      <c r="C16" s="2">
        <v>1.40188253135676</v>
      </c>
    </row>
    <row r="17" spans="1:3" x14ac:dyDescent="0.35">
      <c r="A17" s="2" t="s">
        <v>16</v>
      </c>
      <c r="B17" s="2">
        <v>0.24540937636134</v>
      </c>
      <c r="C17" s="2">
        <v>0.74217031871984696</v>
      </c>
    </row>
    <row r="18" spans="1:3" x14ac:dyDescent="0.35">
      <c r="A18" s="24" t="s">
        <v>17</v>
      </c>
      <c r="B18" s="24">
        <v>0.32555686313988702</v>
      </c>
      <c r="C18" s="24">
        <v>-0.13385184037681599</v>
      </c>
    </row>
    <row r="19" spans="1:3" x14ac:dyDescent="0.35">
      <c r="A19" s="24" t="s">
        <v>17</v>
      </c>
      <c r="B19" s="24">
        <v>4.6442151606750602E-2</v>
      </c>
      <c r="C19" s="24">
        <v>-7.8633361006703095E-2</v>
      </c>
    </row>
    <row r="20" spans="1:3" x14ac:dyDescent="0.35">
      <c r="A20" s="24" t="s">
        <v>17</v>
      </c>
      <c r="B20" s="24">
        <v>0.81300298254652903</v>
      </c>
      <c r="C20" s="24">
        <v>0.11235698855449</v>
      </c>
    </row>
    <row r="21" spans="1:3" x14ac:dyDescent="0.35">
      <c r="A21" s="24" t="s">
        <v>17</v>
      </c>
      <c r="B21" s="24">
        <v>0.669298485611734</v>
      </c>
      <c r="C21" s="24">
        <v>0.50459346505092895</v>
      </c>
    </row>
    <row r="22" spans="1:3" x14ac:dyDescent="0.35">
      <c r="A22" s="24" t="s">
        <v>17</v>
      </c>
      <c r="B22" s="24">
        <v>-1.25359214745942</v>
      </c>
      <c r="C22" s="24">
        <v>0.88981923153659304</v>
      </c>
    </row>
    <row r="23" spans="1:3" x14ac:dyDescent="0.35">
      <c r="A23" s="2" t="s">
        <v>18</v>
      </c>
      <c r="B23" s="2">
        <v>0.55968556274636305</v>
      </c>
      <c r="C23" s="2">
        <v>-7.4383160458285705E-2</v>
      </c>
    </row>
    <row r="24" spans="1:3" x14ac:dyDescent="0.35">
      <c r="A24" s="2" t="s">
        <v>18</v>
      </c>
      <c r="B24" s="2">
        <v>0.54075998406479397</v>
      </c>
      <c r="C24" s="2">
        <v>-0.20292061239951001</v>
      </c>
    </row>
    <row r="25" spans="1:3" x14ac:dyDescent="0.35">
      <c r="A25" s="2" t="s">
        <v>18</v>
      </c>
      <c r="B25" s="2">
        <v>0.58031435993987901</v>
      </c>
      <c r="C25" s="2">
        <v>-0.12650600923664901</v>
      </c>
    </row>
    <row r="26" spans="1:3" x14ac:dyDescent="0.35">
      <c r="A26" s="2" t="s">
        <v>18</v>
      </c>
      <c r="B26" s="2">
        <v>0.40850594307467297</v>
      </c>
      <c r="C26" s="2">
        <v>0.30362708559767498</v>
      </c>
    </row>
    <row r="27" spans="1:3" x14ac:dyDescent="0.35">
      <c r="A27" s="2" t="s">
        <v>18</v>
      </c>
      <c r="B27" s="2">
        <v>0.80520960858772095</v>
      </c>
      <c r="C27" s="2">
        <v>2.6635787098401802E-2</v>
      </c>
    </row>
    <row r="29" spans="1:3" x14ac:dyDescent="0.35">
      <c r="A29" s="1" t="s">
        <v>604</v>
      </c>
    </row>
    <row r="30" spans="1:3" x14ac:dyDescent="0.35">
      <c r="A30" s="2" t="s">
        <v>696</v>
      </c>
    </row>
    <row r="31" spans="1:3" x14ac:dyDescent="0.35">
      <c r="A31" s="2" t="s">
        <v>697</v>
      </c>
    </row>
    <row r="32" spans="1:3" x14ac:dyDescent="0.35">
      <c r="A32" s="2" t="s">
        <v>698</v>
      </c>
    </row>
    <row r="33" spans="1:1" x14ac:dyDescent="0.35">
      <c r="A33" s="2" t="s">
        <v>699</v>
      </c>
    </row>
    <row r="34" spans="1:1" x14ac:dyDescent="0.35">
      <c r="A34" s="2" t="s">
        <v>700</v>
      </c>
    </row>
    <row r="35" spans="1:1" x14ac:dyDescent="0.35">
      <c r="A35" s="2" t="s">
        <v>701</v>
      </c>
    </row>
    <row r="36" spans="1:1" x14ac:dyDescent="0.35">
      <c r="A36" s="2" t="s">
        <v>702</v>
      </c>
    </row>
    <row r="37" spans="1:1" x14ac:dyDescent="0.35">
      <c r="A37" s="2" t="s">
        <v>677</v>
      </c>
    </row>
    <row r="38" spans="1:1" x14ac:dyDescent="0.35">
      <c r="A38" s="2" t="s">
        <v>703</v>
      </c>
    </row>
    <row r="39" spans="1:1" x14ac:dyDescent="0.35">
      <c r="A39" s="2" t="s">
        <v>704</v>
      </c>
    </row>
    <row r="40" spans="1:1" x14ac:dyDescent="0.35">
      <c r="A40" s="2" t="s">
        <v>611</v>
      </c>
    </row>
    <row r="41" spans="1:1" x14ac:dyDescent="0.35">
      <c r="A41" s="2" t="s">
        <v>978</v>
      </c>
    </row>
    <row r="42" spans="1:1" x14ac:dyDescent="0.35">
      <c r="A42" s="2" t="s">
        <v>705</v>
      </c>
    </row>
  </sheetData>
  <mergeCells count="2">
    <mergeCell ref="A1:C1"/>
    <mergeCell ref="E1:G1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C7A21-70B0-43D4-ADDC-EB27DC08FBFE}">
  <dimension ref="A1:Z95"/>
  <sheetViews>
    <sheetView topLeftCell="A76" zoomScaleNormal="100" workbookViewId="0">
      <selection activeCell="S96" sqref="S96"/>
    </sheetView>
  </sheetViews>
  <sheetFormatPr defaultRowHeight="14.15" x14ac:dyDescent="0.35"/>
  <cols>
    <col min="1" max="16384" width="9.140625" style="2"/>
  </cols>
  <sheetData>
    <row r="1" spans="1:26" s="51" customFormat="1" x14ac:dyDescent="0.35">
      <c r="A1" s="51" t="s">
        <v>1027</v>
      </c>
    </row>
    <row r="2" spans="1:26" x14ac:dyDescent="0.35">
      <c r="B2" s="2" t="s">
        <v>1002</v>
      </c>
      <c r="C2" s="2" t="s">
        <v>1003</v>
      </c>
      <c r="D2" s="2" t="s">
        <v>1004</v>
      </c>
      <c r="E2" s="2" t="s">
        <v>1005</v>
      </c>
      <c r="F2" s="2" t="s">
        <v>1006</v>
      </c>
      <c r="G2" s="2" t="s">
        <v>1007</v>
      </c>
      <c r="H2" s="2" t="s">
        <v>1008</v>
      </c>
      <c r="I2" s="2" t="s">
        <v>1009</v>
      </c>
      <c r="J2" s="2" t="s">
        <v>1010</v>
      </c>
      <c r="K2" s="2" t="s">
        <v>1011</v>
      </c>
      <c r="L2" s="2" t="s">
        <v>1012</v>
      </c>
      <c r="M2" s="2" t="s">
        <v>1013</v>
      </c>
      <c r="N2" s="2" t="s">
        <v>1014</v>
      </c>
      <c r="O2" s="2" t="s">
        <v>1015</v>
      </c>
      <c r="P2" s="2" t="s">
        <v>1016</v>
      </c>
      <c r="Q2" s="2" t="s">
        <v>1017</v>
      </c>
      <c r="R2" s="2" t="s">
        <v>1018</v>
      </c>
      <c r="S2" s="2" t="s">
        <v>1019</v>
      </c>
      <c r="T2" s="2" t="s">
        <v>1020</v>
      </c>
      <c r="U2" s="2" t="s">
        <v>1021</v>
      </c>
      <c r="V2" s="2" t="s">
        <v>1022</v>
      </c>
      <c r="W2" s="2" t="s">
        <v>1023</v>
      </c>
      <c r="X2" s="2" t="s">
        <v>1024</v>
      </c>
      <c r="Y2" s="2" t="s">
        <v>1025</v>
      </c>
      <c r="Z2" s="2" t="s">
        <v>1026</v>
      </c>
    </row>
    <row r="3" spans="1:26" x14ac:dyDescent="0.35">
      <c r="A3" s="2" t="s">
        <v>1002</v>
      </c>
      <c r="B3" s="2">
        <v>0</v>
      </c>
      <c r="C3" s="2">
        <v>0.6</v>
      </c>
      <c r="D3" s="2">
        <v>0.4</v>
      </c>
      <c r="E3" s="2">
        <v>0.66666666666666696</v>
      </c>
      <c r="F3" s="2">
        <v>0.5</v>
      </c>
      <c r="G3" s="2">
        <v>0.75</v>
      </c>
      <c r="H3" s="2">
        <v>0.7</v>
      </c>
      <c r="I3" s="2">
        <v>0.8</v>
      </c>
      <c r="J3" s="2">
        <v>0.57142857142857095</v>
      </c>
      <c r="K3" s="2">
        <v>0.8</v>
      </c>
      <c r="L3" s="2">
        <v>0.66666666666666696</v>
      </c>
      <c r="M3" s="2">
        <v>0.81818181818181801</v>
      </c>
      <c r="N3" s="2">
        <v>0.88888888888888895</v>
      </c>
      <c r="O3" s="2">
        <v>0.90909090909090895</v>
      </c>
      <c r="P3" s="2">
        <v>0.77777777777777801</v>
      </c>
      <c r="Q3" s="2">
        <v>0.5</v>
      </c>
      <c r="R3" s="2">
        <v>0.71428571428571397</v>
      </c>
      <c r="S3" s="2">
        <v>0.88888888888888895</v>
      </c>
      <c r="T3" s="2">
        <v>0.90909090909090895</v>
      </c>
      <c r="U3" s="2">
        <v>0.85714285714285698</v>
      </c>
      <c r="V3" s="2">
        <v>0.77777777777777801</v>
      </c>
      <c r="W3" s="2">
        <v>0.77777777777777801</v>
      </c>
      <c r="X3" s="2">
        <v>0.66666666666666696</v>
      </c>
      <c r="Y3" s="2">
        <v>0.75</v>
      </c>
      <c r="Z3" s="2">
        <v>0.85714285714285698</v>
      </c>
    </row>
    <row r="4" spans="1:26" x14ac:dyDescent="0.35">
      <c r="A4" s="2" t="s">
        <v>1003</v>
      </c>
      <c r="B4" s="2">
        <v>0.6</v>
      </c>
      <c r="C4" s="2">
        <v>0</v>
      </c>
      <c r="D4" s="2">
        <v>0.25</v>
      </c>
      <c r="E4" s="2">
        <v>0.25</v>
      </c>
      <c r="F4" s="2">
        <v>0.66666666666666696</v>
      </c>
      <c r="G4" s="2">
        <v>0.83333333333333304</v>
      </c>
      <c r="H4" s="2">
        <v>0.8</v>
      </c>
      <c r="I4" s="2">
        <v>0.77777777777777801</v>
      </c>
      <c r="J4" s="2">
        <v>0.71428571428571397</v>
      </c>
      <c r="K4" s="2">
        <v>0.9</v>
      </c>
      <c r="L4" s="2">
        <v>0.77777777777777801</v>
      </c>
      <c r="M4" s="2">
        <v>0.90909090909090895</v>
      </c>
      <c r="N4" s="2">
        <v>0.875</v>
      </c>
      <c r="O4" s="2">
        <v>0.77777777777777801</v>
      </c>
      <c r="P4" s="2">
        <v>0.88888888888888895</v>
      </c>
      <c r="Q4" s="2">
        <v>0.66666666666666696</v>
      </c>
      <c r="R4" s="2">
        <v>0.85714285714285698</v>
      </c>
      <c r="S4" s="2">
        <v>1</v>
      </c>
      <c r="T4" s="2">
        <v>1</v>
      </c>
      <c r="U4" s="2">
        <v>0.83333333333333304</v>
      </c>
      <c r="V4" s="2">
        <v>0.88888888888888895</v>
      </c>
      <c r="W4" s="2">
        <v>0.88888888888888895</v>
      </c>
      <c r="X4" s="2">
        <v>0.83333333333333304</v>
      </c>
      <c r="Y4" s="2">
        <v>0.875</v>
      </c>
      <c r="Z4" s="2">
        <v>1</v>
      </c>
    </row>
    <row r="5" spans="1:26" x14ac:dyDescent="0.35">
      <c r="A5" s="2" t="s">
        <v>1004</v>
      </c>
      <c r="B5" s="2">
        <v>0.4</v>
      </c>
      <c r="C5" s="2">
        <v>0.25</v>
      </c>
      <c r="D5" s="2">
        <v>0</v>
      </c>
      <c r="E5" s="2">
        <v>0.4</v>
      </c>
      <c r="F5" s="2">
        <v>0.71428571428571397</v>
      </c>
      <c r="G5" s="2">
        <v>0.84615384615384603</v>
      </c>
      <c r="H5" s="2">
        <v>0.7</v>
      </c>
      <c r="I5" s="2">
        <v>0.8</v>
      </c>
      <c r="J5" s="2">
        <v>0.75</v>
      </c>
      <c r="K5" s="2">
        <v>0.90909090909090895</v>
      </c>
      <c r="L5" s="2">
        <v>0.8</v>
      </c>
      <c r="M5" s="2">
        <v>0.91666666666666696</v>
      </c>
      <c r="N5" s="2">
        <v>0.88888888888888895</v>
      </c>
      <c r="O5" s="2">
        <v>0.8</v>
      </c>
      <c r="P5" s="2">
        <v>0.9</v>
      </c>
      <c r="Q5" s="2">
        <v>0.71428571428571397</v>
      </c>
      <c r="R5" s="2">
        <v>0.875</v>
      </c>
      <c r="S5" s="2">
        <v>1</v>
      </c>
      <c r="T5" s="2">
        <v>1</v>
      </c>
      <c r="U5" s="2">
        <v>0.85714285714285698</v>
      </c>
      <c r="V5" s="2">
        <v>0.9</v>
      </c>
      <c r="W5" s="2">
        <v>0.9</v>
      </c>
      <c r="X5" s="2">
        <v>0.85714285714285698</v>
      </c>
      <c r="Y5" s="2">
        <v>0.88888888888888895</v>
      </c>
      <c r="Z5" s="2">
        <v>1</v>
      </c>
    </row>
    <row r="6" spans="1:26" x14ac:dyDescent="0.35">
      <c r="A6" s="2" t="s">
        <v>1005</v>
      </c>
      <c r="B6" s="2">
        <v>0.66666666666666696</v>
      </c>
      <c r="C6" s="2">
        <v>0.25</v>
      </c>
      <c r="D6" s="2">
        <v>0.4</v>
      </c>
      <c r="E6" s="2">
        <v>0</v>
      </c>
      <c r="F6" s="2">
        <v>0.71428571428571397</v>
      </c>
      <c r="G6" s="2">
        <v>0.75</v>
      </c>
      <c r="H6" s="2">
        <v>0.81818181818181801</v>
      </c>
      <c r="I6" s="2">
        <v>0.8</v>
      </c>
      <c r="J6" s="2">
        <v>0.75</v>
      </c>
      <c r="K6" s="2">
        <v>0.90909090909090895</v>
      </c>
      <c r="L6" s="2">
        <v>0.8</v>
      </c>
      <c r="M6" s="2">
        <v>0.91666666666666696</v>
      </c>
      <c r="N6" s="2">
        <v>0.88888888888888895</v>
      </c>
      <c r="O6" s="2">
        <v>0.8</v>
      </c>
      <c r="P6" s="2">
        <v>0.9</v>
      </c>
      <c r="Q6" s="2">
        <v>0.71428571428571397</v>
      </c>
      <c r="R6" s="2">
        <v>0.875</v>
      </c>
      <c r="S6" s="2">
        <v>1</v>
      </c>
      <c r="T6" s="2">
        <v>1</v>
      </c>
      <c r="U6" s="2">
        <v>0.85714285714285698</v>
      </c>
      <c r="V6" s="2">
        <v>0.9</v>
      </c>
      <c r="W6" s="2">
        <v>0.9</v>
      </c>
      <c r="X6" s="2">
        <v>0.85714285714285698</v>
      </c>
      <c r="Y6" s="2">
        <v>0.88888888888888895</v>
      </c>
      <c r="Z6" s="2">
        <v>1</v>
      </c>
    </row>
    <row r="7" spans="1:26" x14ac:dyDescent="0.35">
      <c r="A7" s="2" t="s">
        <v>1006</v>
      </c>
      <c r="B7" s="2">
        <v>0.5</v>
      </c>
      <c r="C7" s="2">
        <v>0.66666666666666696</v>
      </c>
      <c r="D7" s="2">
        <v>0.71428571428571397</v>
      </c>
      <c r="E7" s="2">
        <v>0.71428571428571397</v>
      </c>
      <c r="F7" s="2">
        <v>0</v>
      </c>
      <c r="G7" s="2">
        <v>0.66666666666666696</v>
      </c>
      <c r="H7" s="2">
        <v>0.83333333333333304</v>
      </c>
      <c r="I7" s="2">
        <v>0.7</v>
      </c>
      <c r="J7" s="2">
        <v>0.42857142857142899</v>
      </c>
      <c r="K7" s="2">
        <v>0.7</v>
      </c>
      <c r="L7" s="2">
        <v>0.55555555555555602</v>
      </c>
      <c r="M7" s="2">
        <v>0.72727272727272696</v>
      </c>
      <c r="N7" s="2">
        <v>0.77777777777777801</v>
      </c>
      <c r="O7" s="2">
        <v>0.91666666666666696</v>
      </c>
      <c r="P7" s="2">
        <v>0.8</v>
      </c>
      <c r="Q7" s="2">
        <v>0.57142857142857095</v>
      </c>
      <c r="R7" s="2">
        <v>0.75</v>
      </c>
      <c r="S7" s="2">
        <v>0.9</v>
      </c>
      <c r="T7" s="2">
        <v>0.81818181818181801</v>
      </c>
      <c r="U7" s="2">
        <v>0.875</v>
      </c>
      <c r="V7" s="2">
        <v>0.8</v>
      </c>
      <c r="W7" s="2">
        <v>0.8</v>
      </c>
      <c r="X7" s="2">
        <v>0.71428571428571397</v>
      </c>
      <c r="Y7" s="2">
        <v>0.77777777777777801</v>
      </c>
      <c r="Z7" s="2">
        <v>0.875</v>
      </c>
    </row>
    <row r="8" spans="1:26" x14ac:dyDescent="0.35">
      <c r="A8" s="2" t="s">
        <v>1007</v>
      </c>
      <c r="B8" s="2">
        <v>0.75</v>
      </c>
      <c r="C8" s="2">
        <v>0.83333333333333304</v>
      </c>
      <c r="D8" s="2">
        <v>0.84615384615384603</v>
      </c>
      <c r="E8" s="2">
        <v>0.75</v>
      </c>
      <c r="F8" s="2">
        <v>0.66666666666666696</v>
      </c>
      <c r="G8" s="2">
        <v>0</v>
      </c>
      <c r="H8" s="2">
        <v>0.75</v>
      </c>
      <c r="I8" s="2">
        <v>0.73333333333333295</v>
      </c>
      <c r="J8" s="2">
        <v>0.58333333333333304</v>
      </c>
      <c r="K8" s="2">
        <v>0.73333333333333295</v>
      </c>
      <c r="L8" s="2">
        <v>0.73333333333333295</v>
      </c>
      <c r="M8" s="2">
        <v>0.82352941176470595</v>
      </c>
      <c r="N8" s="2">
        <v>0.9375</v>
      </c>
      <c r="O8" s="2">
        <v>0.94444444444444398</v>
      </c>
      <c r="P8" s="2">
        <v>0.875</v>
      </c>
      <c r="Q8" s="2">
        <v>0.76923076923076905</v>
      </c>
      <c r="R8" s="2">
        <v>0.76923076923076905</v>
      </c>
      <c r="S8" s="2">
        <v>0.9375</v>
      </c>
      <c r="T8" s="2">
        <v>0.88235294117647101</v>
      </c>
      <c r="U8" s="2">
        <v>0.92857142857142905</v>
      </c>
      <c r="V8" s="2">
        <v>0.875</v>
      </c>
      <c r="W8" s="2">
        <v>0.875</v>
      </c>
      <c r="X8" s="2">
        <v>0.84615384615384603</v>
      </c>
      <c r="Y8" s="2">
        <v>0.86666666666666703</v>
      </c>
      <c r="Z8" s="2">
        <v>0.92857142857142905</v>
      </c>
    </row>
    <row r="9" spans="1:26" x14ac:dyDescent="0.35">
      <c r="A9" s="2" t="s">
        <v>1008</v>
      </c>
      <c r="B9" s="2">
        <v>0.7</v>
      </c>
      <c r="C9" s="2">
        <v>0.8</v>
      </c>
      <c r="D9" s="2">
        <v>0.7</v>
      </c>
      <c r="E9" s="2">
        <v>0.81818181818181801</v>
      </c>
      <c r="F9" s="2">
        <v>0.83333333333333304</v>
      </c>
      <c r="G9" s="2">
        <v>0.75</v>
      </c>
      <c r="H9" s="2">
        <v>0</v>
      </c>
      <c r="I9" s="2">
        <v>0.45454545454545497</v>
      </c>
      <c r="J9" s="2">
        <v>0.63636363636363602</v>
      </c>
      <c r="K9" s="2">
        <v>0.78571428571428603</v>
      </c>
      <c r="L9" s="2">
        <v>0.86666666666666703</v>
      </c>
      <c r="M9" s="2">
        <v>0.8</v>
      </c>
      <c r="N9" s="2">
        <v>0.84615384615384603</v>
      </c>
      <c r="O9" s="2">
        <v>0.86666666666666703</v>
      </c>
      <c r="P9" s="2">
        <v>0.85714285714285698</v>
      </c>
      <c r="Q9" s="2">
        <v>0.83333333333333304</v>
      </c>
      <c r="R9" s="2">
        <v>0.83333333333333304</v>
      </c>
      <c r="S9" s="2">
        <v>0.92857142857142905</v>
      </c>
      <c r="T9" s="2">
        <v>0.9375</v>
      </c>
      <c r="U9" s="2">
        <v>0.81818181818181801</v>
      </c>
      <c r="V9" s="2">
        <v>0.76923076923076905</v>
      </c>
      <c r="W9" s="2">
        <v>0.85714285714285698</v>
      </c>
      <c r="X9" s="2">
        <v>0.81818181818181801</v>
      </c>
      <c r="Y9" s="2">
        <v>0.75</v>
      </c>
      <c r="Z9" s="2">
        <v>0.81818181818181801</v>
      </c>
    </row>
    <row r="10" spans="1:26" x14ac:dyDescent="0.35">
      <c r="A10" s="2" t="s">
        <v>1009</v>
      </c>
      <c r="B10" s="2">
        <v>0.8</v>
      </c>
      <c r="C10" s="2">
        <v>0.77777777777777801</v>
      </c>
      <c r="D10" s="2">
        <v>0.8</v>
      </c>
      <c r="E10" s="2">
        <v>0.8</v>
      </c>
      <c r="F10" s="2">
        <v>0.7</v>
      </c>
      <c r="G10" s="2">
        <v>0.73333333333333295</v>
      </c>
      <c r="H10" s="2">
        <v>0.45454545454545497</v>
      </c>
      <c r="I10" s="2">
        <v>0</v>
      </c>
      <c r="J10" s="2">
        <v>0.72727272727272696</v>
      </c>
      <c r="K10" s="2">
        <v>0.76923076923076905</v>
      </c>
      <c r="L10" s="2">
        <v>0.85714285714285698</v>
      </c>
      <c r="M10" s="2">
        <v>0.78571428571428603</v>
      </c>
      <c r="N10" s="2">
        <v>0.72727272727272696</v>
      </c>
      <c r="O10" s="2">
        <v>0.85714285714285698</v>
      </c>
      <c r="P10" s="2">
        <v>0.84615384615384603</v>
      </c>
      <c r="Q10" s="2">
        <v>0.81818181818181801</v>
      </c>
      <c r="R10" s="2">
        <v>0.81818181818181801</v>
      </c>
      <c r="S10" s="2">
        <v>0.92307692307692302</v>
      </c>
      <c r="T10" s="2">
        <v>0.93333333333333302</v>
      </c>
      <c r="U10" s="2">
        <v>0.8</v>
      </c>
      <c r="V10" s="2">
        <v>0.75</v>
      </c>
      <c r="W10" s="2">
        <v>0.84615384615384603</v>
      </c>
      <c r="X10" s="2">
        <v>0.8</v>
      </c>
      <c r="Y10" s="2">
        <v>0.72727272727272696</v>
      </c>
      <c r="Z10" s="2">
        <v>0.8</v>
      </c>
    </row>
    <row r="11" spans="1:26" x14ac:dyDescent="0.35">
      <c r="A11" s="2" t="s">
        <v>1010</v>
      </c>
      <c r="B11" s="2">
        <v>0.57142857142857095</v>
      </c>
      <c r="C11" s="2">
        <v>0.71428571428571397</v>
      </c>
      <c r="D11" s="2">
        <v>0.75</v>
      </c>
      <c r="E11" s="2">
        <v>0.75</v>
      </c>
      <c r="F11" s="2">
        <v>0.42857142857142899</v>
      </c>
      <c r="G11" s="2">
        <v>0.58333333333333304</v>
      </c>
      <c r="H11" s="2">
        <v>0.63636363636363602</v>
      </c>
      <c r="I11" s="2">
        <v>0.72727272727272696</v>
      </c>
      <c r="J11" s="2">
        <v>0</v>
      </c>
      <c r="K11" s="2">
        <v>0.72727272727272696</v>
      </c>
      <c r="L11" s="2">
        <v>0.6</v>
      </c>
      <c r="M11" s="2">
        <v>0.63636363636363602</v>
      </c>
      <c r="N11" s="2">
        <v>0.90909090909090895</v>
      </c>
      <c r="O11" s="2">
        <v>0.92307692307692302</v>
      </c>
      <c r="P11" s="2">
        <v>0.81818181818181801</v>
      </c>
      <c r="Q11" s="2">
        <v>0.625</v>
      </c>
      <c r="R11" s="2">
        <v>0.77777777777777801</v>
      </c>
      <c r="S11" s="2">
        <v>0.90909090909090895</v>
      </c>
      <c r="T11" s="2">
        <v>0.83333333333333304</v>
      </c>
      <c r="U11" s="2">
        <v>0.88888888888888895</v>
      </c>
      <c r="V11" s="2">
        <v>0.81818181818181801</v>
      </c>
      <c r="W11" s="2">
        <v>0.81818181818181801</v>
      </c>
      <c r="X11" s="2">
        <v>0.75</v>
      </c>
      <c r="Y11" s="2">
        <v>0.8</v>
      </c>
      <c r="Z11" s="2">
        <v>0.88888888888888895</v>
      </c>
    </row>
    <row r="12" spans="1:26" x14ac:dyDescent="0.35">
      <c r="A12" s="2" t="s">
        <v>1011</v>
      </c>
      <c r="B12" s="2">
        <v>0.8</v>
      </c>
      <c r="C12" s="2">
        <v>0.9</v>
      </c>
      <c r="D12" s="2">
        <v>0.90909090909090895</v>
      </c>
      <c r="E12" s="2">
        <v>0.90909090909090895</v>
      </c>
      <c r="F12" s="2">
        <v>0.7</v>
      </c>
      <c r="G12" s="2">
        <v>0.73333333333333295</v>
      </c>
      <c r="H12" s="2">
        <v>0.78571428571428603</v>
      </c>
      <c r="I12" s="2">
        <v>0.76923076923076905</v>
      </c>
      <c r="J12" s="2">
        <v>0.72727272727272696</v>
      </c>
      <c r="K12" s="2">
        <v>0</v>
      </c>
      <c r="L12" s="2">
        <v>0.85714285714285698</v>
      </c>
      <c r="M12" s="2">
        <v>0.78571428571428603</v>
      </c>
      <c r="N12" s="2">
        <v>0.83333333333333304</v>
      </c>
      <c r="O12" s="2">
        <v>1</v>
      </c>
      <c r="P12" s="2">
        <v>0.84615384615384603</v>
      </c>
      <c r="Q12" s="2">
        <v>0.81818181818181801</v>
      </c>
      <c r="R12" s="2">
        <v>0.81818181818181801</v>
      </c>
      <c r="S12" s="2">
        <v>0.92307692307692302</v>
      </c>
      <c r="T12" s="2">
        <v>0.93333333333333302</v>
      </c>
      <c r="U12" s="2">
        <v>0.90909090909090895</v>
      </c>
      <c r="V12" s="2">
        <v>0.84615384615384603</v>
      </c>
      <c r="W12" s="2">
        <v>0.84615384615384603</v>
      </c>
      <c r="X12" s="2">
        <v>0.8</v>
      </c>
      <c r="Y12" s="2">
        <v>0.83333333333333304</v>
      </c>
      <c r="Z12" s="2">
        <v>0.90909090909090895</v>
      </c>
    </row>
    <row r="13" spans="1:26" x14ac:dyDescent="0.35">
      <c r="A13" s="2" t="s">
        <v>1012</v>
      </c>
      <c r="B13" s="2">
        <v>0.66666666666666696</v>
      </c>
      <c r="C13" s="2">
        <v>0.77777777777777801</v>
      </c>
      <c r="D13" s="2">
        <v>0.8</v>
      </c>
      <c r="E13" s="2">
        <v>0.8</v>
      </c>
      <c r="F13" s="2">
        <v>0.55555555555555602</v>
      </c>
      <c r="G13" s="2">
        <v>0.73333333333333295</v>
      </c>
      <c r="H13" s="2">
        <v>0.86666666666666703</v>
      </c>
      <c r="I13" s="2">
        <v>0.85714285714285698</v>
      </c>
      <c r="J13" s="2">
        <v>0.6</v>
      </c>
      <c r="K13" s="2">
        <v>0.85714285714285698</v>
      </c>
      <c r="L13" s="2">
        <v>0</v>
      </c>
      <c r="M13" s="2">
        <v>0.3</v>
      </c>
      <c r="N13" s="2">
        <v>0.83333333333333304</v>
      </c>
      <c r="O13" s="2">
        <v>0.93333333333333302</v>
      </c>
      <c r="P13" s="2">
        <v>0.75</v>
      </c>
      <c r="Q13" s="2">
        <v>0.55555555555555602</v>
      </c>
      <c r="R13" s="2">
        <v>0.81818181818181801</v>
      </c>
      <c r="S13" s="2">
        <v>0.83333333333333304</v>
      </c>
      <c r="T13" s="2">
        <v>0.76923076923076905</v>
      </c>
      <c r="U13" s="2">
        <v>0.90909090909090895</v>
      </c>
      <c r="V13" s="2">
        <v>0.84615384615384603</v>
      </c>
      <c r="W13" s="2">
        <v>0.63636363636363602</v>
      </c>
      <c r="X13" s="2">
        <v>0.8</v>
      </c>
      <c r="Y13" s="2">
        <v>0.72727272727272696</v>
      </c>
      <c r="Z13" s="2">
        <v>0.8</v>
      </c>
    </row>
    <row r="14" spans="1:26" x14ac:dyDescent="0.35">
      <c r="A14" s="2" t="s">
        <v>1013</v>
      </c>
      <c r="B14" s="2">
        <v>0.81818181818181801</v>
      </c>
      <c r="C14" s="2">
        <v>0.90909090909090895</v>
      </c>
      <c r="D14" s="2">
        <v>0.91666666666666696</v>
      </c>
      <c r="E14" s="2">
        <v>0.91666666666666696</v>
      </c>
      <c r="F14" s="2">
        <v>0.72727272727272696</v>
      </c>
      <c r="G14" s="2">
        <v>0.82352941176470595</v>
      </c>
      <c r="H14" s="2">
        <v>0.8</v>
      </c>
      <c r="I14" s="2">
        <v>0.78571428571428603</v>
      </c>
      <c r="J14" s="2">
        <v>0.63636363636363602</v>
      </c>
      <c r="K14" s="2">
        <v>0.78571428571428603</v>
      </c>
      <c r="L14" s="2">
        <v>0.3</v>
      </c>
      <c r="M14" s="2">
        <v>0</v>
      </c>
      <c r="N14" s="2">
        <v>0.84615384615384603</v>
      </c>
      <c r="O14" s="2">
        <v>1</v>
      </c>
      <c r="P14" s="2">
        <v>0.76923076923076905</v>
      </c>
      <c r="Q14" s="2">
        <v>0.72727272727272696</v>
      </c>
      <c r="R14" s="2">
        <v>0.83333333333333304</v>
      </c>
      <c r="S14" s="2">
        <v>0.84615384615384603</v>
      </c>
      <c r="T14" s="2">
        <v>0.78571428571428603</v>
      </c>
      <c r="U14" s="2">
        <v>0.91666666666666696</v>
      </c>
      <c r="V14" s="2">
        <v>0.85714285714285698</v>
      </c>
      <c r="W14" s="2">
        <v>0.66666666666666696</v>
      </c>
      <c r="X14" s="2">
        <v>0.81818181818181801</v>
      </c>
      <c r="Y14" s="2">
        <v>0.75</v>
      </c>
      <c r="Z14" s="2">
        <v>0.81818181818181801</v>
      </c>
    </row>
    <row r="15" spans="1:26" x14ac:dyDescent="0.35">
      <c r="A15" s="2" t="s">
        <v>1014</v>
      </c>
      <c r="B15" s="2">
        <v>0.88888888888888895</v>
      </c>
      <c r="C15" s="2">
        <v>0.875</v>
      </c>
      <c r="D15" s="2">
        <v>0.88888888888888895</v>
      </c>
      <c r="E15" s="2">
        <v>0.88888888888888895</v>
      </c>
      <c r="F15" s="2">
        <v>0.77777777777777801</v>
      </c>
      <c r="G15" s="2">
        <v>0.9375</v>
      </c>
      <c r="H15" s="2">
        <v>0.84615384615384603</v>
      </c>
      <c r="I15" s="2">
        <v>0.72727272727272696</v>
      </c>
      <c r="J15" s="2">
        <v>0.90909090909090895</v>
      </c>
      <c r="K15" s="2">
        <v>0.83333333333333304</v>
      </c>
      <c r="L15" s="2">
        <v>0.83333333333333304</v>
      </c>
      <c r="M15" s="2">
        <v>0.84615384615384603</v>
      </c>
      <c r="N15" s="2">
        <v>0</v>
      </c>
      <c r="O15" s="2">
        <v>0.83333333333333304</v>
      </c>
      <c r="P15" s="2">
        <v>0.7</v>
      </c>
      <c r="Q15" s="2">
        <v>0.9</v>
      </c>
      <c r="R15" s="2">
        <v>0.9</v>
      </c>
      <c r="S15" s="2">
        <v>0.8</v>
      </c>
      <c r="T15" s="2">
        <v>0.72727272727272696</v>
      </c>
      <c r="U15" s="2">
        <v>0.75</v>
      </c>
      <c r="V15" s="2">
        <v>0.91666666666666696</v>
      </c>
      <c r="W15" s="2">
        <v>0.91666666666666696</v>
      </c>
      <c r="X15" s="2">
        <v>0.88888888888888895</v>
      </c>
      <c r="Y15" s="2">
        <v>0.90909090909090895</v>
      </c>
      <c r="Z15" s="2">
        <v>0.88888888888888895</v>
      </c>
    </row>
    <row r="16" spans="1:26" x14ac:dyDescent="0.35">
      <c r="A16" s="2" t="s">
        <v>1015</v>
      </c>
      <c r="B16" s="2">
        <v>0.90909090909090895</v>
      </c>
      <c r="C16" s="2">
        <v>0.77777777777777801</v>
      </c>
      <c r="D16" s="2">
        <v>0.8</v>
      </c>
      <c r="E16" s="2">
        <v>0.8</v>
      </c>
      <c r="F16" s="2">
        <v>0.91666666666666696</v>
      </c>
      <c r="G16" s="2">
        <v>0.94444444444444398</v>
      </c>
      <c r="H16" s="2">
        <v>0.86666666666666703</v>
      </c>
      <c r="I16" s="2">
        <v>0.85714285714285698</v>
      </c>
      <c r="J16" s="2">
        <v>0.92307692307692302</v>
      </c>
      <c r="K16" s="2">
        <v>1</v>
      </c>
      <c r="L16" s="2">
        <v>0.93333333333333302</v>
      </c>
      <c r="M16" s="2">
        <v>1</v>
      </c>
      <c r="N16" s="2">
        <v>0.83333333333333304</v>
      </c>
      <c r="O16" s="2">
        <v>0</v>
      </c>
      <c r="P16" s="2">
        <v>0.75</v>
      </c>
      <c r="Q16" s="2">
        <v>0.91666666666666696</v>
      </c>
      <c r="R16" s="2">
        <v>1</v>
      </c>
      <c r="S16" s="2">
        <v>0.92307692307692302</v>
      </c>
      <c r="T16" s="2">
        <v>0.85714285714285698</v>
      </c>
      <c r="U16" s="2">
        <v>0.90909090909090895</v>
      </c>
      <c r="V16" s="2">
        <v>0.92857142857142905</v>
      </c>
      <c r="W16" s="2">
        <v>1</v>
      </c>
      <c r="X16" s="2">
        <v>1</v>
      </c>
      <c r="Y16" s="2">
        <v>0.83333333333333304</v>
      </c>
      <c r="Z16" s="2">
        <v>0.90909090909090895</v>
      </c>
    </row>
    <row r="17" spans="1:26" x14ac:dyDescent="0.35">
      <c r="A17" s="2" t="s">
        <v>1016</v>
      </c>
      <c r="B17" s="2">
        <v>0.77777777777777801</v>
      </c>
      <c r="C17" s="2">
        <v>0.88888888888888895</v>
      </c>
      <c r="D17" s="2">
        <v>0.9</v>
      </c>
      <c r="E17" s="2">
        <v>0.9</v>
      </c>
      <c r="F17" s="2">
        <v>0.8</v>
      </c>
      <c r="G17" s="2">
        <v>0.875</v>
      </c>
      <c r="H17" s="2">
        <v>0.85714285714285698</v>
      </c>
      <c r="I17" s="2">
        <v>0.84615384615384603</v>
      </c>
      <c r="J17" s="2">
        <v>0.81818181818181801</v>
      </c>
      <c r="K17" s="2">
        <v>0.84615384615384603</v>
      </c>
      <c r="L17" s="2">
        <v>0.75</v>
      </c>
      <c r="M17" s="2">
        <v>0.76923076923076905</v>
      </c>
      <c r="N17" s="2">
        <v>0.7</v>
      </c>
      <c r="O17" s="2">
        <v>0.75</v>
      </c>
      <c r="P17" s="2">
        <v>0</v>
      </c>
      <c r="Q17" s="2">
        <v>0.8</v>
      </c>
      <c r="R17" s="2">
        <v>0.8</v>
      </c>
      <c r="S17" s="2">
        <v>0.81818181818181801</v>
      </c>
      <c r="T17" s="2">
        <v>0.75</v>
      </c>
      <c r="U17" s="2">
        <v>0.9</v>
      </c>
      <c r="V17" s="2">
        <v>0.83333333333333304</v>
      </c>
      <c r="W17" s="2">
        <v>0.83333333333333304</v>
      </c>
      <c r="X17" s="2">
        <v>0.77777777777777801</v>
      </c>
      <c r="Y17" s="2">
        <v>0.81818181818181801</v>
      </c>
      <c r="Z17" s="2">
        <v>0.9</v>
      </c>
    </row>
    <row r="18" spans="1:26" x14ac:dyDescent="0.35">
      <c r="A18" s="2" t="s">
        <v>1017</v>
      </c>
      <c r="B18" s="2">
        <v>0.5</v>
      </c>
      <c r="C18" s="2">
        <v>0.66666666666666696</v>
      </c>
      <c r="D18" s="2">
        <v>0.71428571428571397</v>
      </c>
      <c r="E18" s="2">
        <v>0.71428571428571397</v>
      </c>
      <c r="F18" s="2">
        <v>0.57142857142857095</v>
      </c>
      <c r="G18" s="2">
        <v>0.76923076923076905</v>
      </c>
      <c r="H18" s="2">
        <v>0.83333333333333304</v>
      </c>
      <c r="I18" s="2">
        <v>0.81818181818181801</v>
      </c>
      <c r="J18" s="2">
        <v>0.625</v>
      </c>
      <c r="K18" s="2">
        <v>0.81818181818181801</v>
      </c>
      <c r="L18" s="2">
        <v>0.55555555555555602</v>
      </c>
      <c r="M18" s="2">
        <v>0.72727272727272696</v>
      </c>
      <c r="N18" s="2">
        <v>0.9</v>
      </c>
      <c r="O18" s="2">
        <v>0.91666666666666696</v>
      </c>
      <c r="P18" s="2">
        <v>0.8</v>
      </c>
      <c r="Q18" s="2">
        <v>0</v>
      </c>
      <c r="R18" s="2">
        <v>0.75</v>
      </c>
      <c r="S18" s="2">
        <v>0.77777777777777801</v>
      </c>
      <c r="T18" s="2">
        <v>0.91666666666666696</v>
      </c>
      <c r="U18" s="2">
        <v>0.875</v>
      </c>
      <c r="V18" s="2">
        <v>0.8</v>
      </c>
      <c r="W18" s="2">
        <v>0.66666666666666696</v>
      </c>
      <c r="X18" s="2">
        <v>0.71428571428571397</v>
      </c>
      <c r="Y18" s="2">
        <v>0.625</v>
      </c>
      <c r="Z18" s="2">
        <v>0.875</v>
      </c>
    </row>
    <row r="19" spans="1:26" x14ac:dyDescent="0.35">
      <c r="A19" s="2" t="s">
        <v>1018</v>
      </c>
      <c r="B19" s="2">
        <v>0.71428571428571397</v>
      </c>
      <c r="C19" s="2">
        <v>0.85714285714285698</v>
      </c>
      <c r="D19" s="2">
        <v>0.875</v>
      </c>
      <c r="E19" s="2">
        <v>0.875</v>
      </c>
      <c r="F19" s="2">
        <v>0.75</v>
      </c>
      <c r="G19" s="2">
        <v>0.76923076923076905</v>
      </c>
      <c r="H19" s="2">
        <v>0.83333333333333304</v>
      </c>
      <c r="I19" s="2">
        <v>0.81818181818181801</v>
      </c>
      <c r="J19" s="2">
        <v>0.77777777777777801</v>
      </c>
      <c r="K19" s="2">
        <v>0.81818181818181801</v>
      </c>
      <c r="L19" s="2">
        <v>0.81818181818181801</v>
      </c>
      <c r="M19" s="2">
        <v>0.83333333333333304</v>
      </c>
      <c r="N19" s="2">
        <v>0.9</v>
      </c>
      <c r="O19" s="2">
        <v>1</v>
      </c>
      <c r="P19" s="2">
        <v>0.8</v>
      </c>
      <c r="Q19" s="2">
        <v>0.75</v>
      </c>
      <c r="R19" s="2">
        <v>0</v>
      </c>
      <c r="S19" s="2">
        <v>0.9</v>
      </c>
      <c r="T19" s="2">
        <v>0.7</v>
      </c>
      <c r="U19" s="2">
        <v>0.5</v>
      </c>
      <c r="V19" s="2">
        <v>0.8</v>
      </c>
      <c r="W19" s="2">
        <v>0.8</v>
      </c>
      <c r="X19" s="2">
        <v>0.71428571428571397</v>
      </c>
      <c r="Y19" s="2">
        <v>0.77777777777777801</v>
      </c>
      <c r="Z19" s="2">
        <v>0.875</v>
      </c>
    </row>
    <row r="20" spans="1:26" x14ac:dyDescent="0.35">
      <c r="A20" s="2" t="s">
        <v>1019</v>
      </c>
      <c r="B20" s="2">
        <v>0.88888888888888895</v>
      </c>
      <c r="C20" s="2">
        <v>1</v>
      </c>
      <c r="D20" s="2">
        <v>1</v>
      </c>
      <c r="E20" s="2">
        <v>1</v>
      </c>
      <c r="F20" s="2">
        <v>0.9</v>
      </c>
      <c r="G20" s="2">
        <v>0.9375</v>
      </c>
      <c r="H20" s="2">
        <v>0.92857142857142905</v>
      </c>
      <c r="I20" s="2">
        <v>0.92307692307692302</v>
      </c>
      <c r="J20" s="2">
        <v>0.90909090909090895</v>
      </c>
      <c r="K20" s="2">
        <v>0.92307692307692302</v>
      </c>
      <c r="L20" s="2">
        <v>0.83333333333333304</v>
      </c>
      <c r="M20" s="2">
        <v>0.84615384615384603</v>
      </c>
      <c r="N20" s="2">
        <v>0.8</v>
      </c>
      <c r="O20" s="2">
        <v>0.92307692307692302</v>
      </c>
      <c r="P20" s="2">
        <v>0.81818181818181801</v>
      </c>
      <c r="Q20" s="2">
        <v>0.77777777777777801</v>
      </c>
      <c r="R20" s="2">
        <v>0.9</v>
      </c>
      <c r="S20" s="2">
        <v>0</v>
      </c>
      <c r="T20" s="2">
        <v>0.6</v>
      </c>
      <c r="U20" s="2">
        <v>0.88888888888888895</v>
      </c>
      <c r="V20" s="2">
        <v>0.91666666666666696</v>
      </c>
      <c r="W20" s="2">
        <v>0.81818181818181801</v>
      </c>
      <c r="X20" s="2">
        <v>0.88888888888888895</v>
      </c>
      <c r="Y20" s="2">
        <v>0.66666666666666696</v>
      </c>
      <c r="Z20" s="2">
        <v>0.88888888888888895</v>
      </c>
    </row>
    <row r="21" spans="1:26" x14ac:dyDescent="0.35">
      <c r="A21" s="2" t="s">
        <v>1020</v>
      </c>
      <c r="B21" s="2">
        <v>0.90909090909090895</v>
      </c>
      <c r="C21" s="2">
        <v>1</v>
      </c>
      <c r="D21" s="2">
        <v>1</v>
      </c>
      <c r="E21" s="2">
        <v>1</v>
      </c>
      <c r="F21" s="2">
        <v>0.81818181818181801</v>
      </c>
      <c r="G21" s="2">
        <v>0.88235294117647101</v>
      </c>
      <c r="H21" s="2">
        <v>0.9375</v>
      </c>
      <c r="I21" s="2">
        <v>0.93333333333333302</v>
      </c>
      <c r="J21" s="2">
        <v>0.83333333333333304</v>
      </c>
      <c r="K21" s="2">
        <v>0.93333333333333302</v>
      </c>
      <c r="L21" s="2">
        <v>0.76923076923076905</v>
      </c>
      <c r="M21" s="2">
        <v>0.78571428571428603</v>
      </c>
      <c r="N21" s="2">
        <v>0.72727272727272696</v>
      </c>
      <c r="O21" s="2">
        <v>0.85714285714285698</v>
      </c>
      <c r="P21" s="2">
        <v>0.75</v>
      </c>
      <c r="Q21" s="2">
        <v>0.91666666666666696</v>
      </c>
      <c r="R21" s="2">
        <v>0.7</v>
      </c>
      <c r="S21" s="2">
        <v>0.6</v>
      </c>
      <c r="T21" s="2">
        <v>0</v>
      </c>
      <c r="U21" s="2">
        <v>0.66666666666666696</v>
      </c>
      <c r="V21" s="2">
        <v>0.92857142857142905</v>
      </c>
      <c r="W21" s="2">
        <v>0.92857142857142905</v>
      </c>
      <c r="X21" s="2">
        <v>0.90909090909090895</v>
      </c>
      <c r="Y21" s="2">
        <v>0.83333333333333304</v>
      </c>
      <c r="Z21" s="2">
        <v>0.90909090909090895</v>
      </c>
    </row>
    <row r="22" spans="1:26" x14ac:dyDescent="0.35">
      <c r="A22" s="2" t="s">
        <v>1021</v>
      </c>
      <c r="B22" s="2">
        <v>0.85714285714285698</v>
      </c>
      <c r="C22" s="2">
        <v>0.83333333333333304</v>
      </c>
      <c r="D22" s="2">
        <v>0.85714285714285698</v>
      </c>
      <c r="E22" s="2">
        <v>0.85714285714285698</v>
      </c>
      <c r="F22" s="2">
        <v>0.875</v>
      </c>
      <c r="G22" s="2">
        <v>0.92857142857142905</v>
      </c>
      <c r="H22" s="2">
        <v>0.81818181818181801</v>
      </c>
      <c r="I22" s="2">
        <v>0.8</v>
      </c>
      <c r="J22" s="2">
        <v>0.88888888888888895</v>
      </c>
      <c r="K22" s="2">
        <v>0.90909090909090895</v>
      </c>
      <c r="L22" s="2">
        <v>0.90909090909090895</v>
      </c>
      <c r="M22" s="2">
        <v>0.91666666666666696</v>
      </c>
      <c r="N22" s="2">
        <v>0.75</v>
      </c>
      <c r="O22" s="2">
        <v>0.90909090909090895</v>
      </c>
      <c r="P22" s="2">
        <v>0.9</v>
      </c>
      <c r="Q22" s="2">
        <v>0.875</v>
      </c>
      <c r="R22" s="2">
        <v>0.5</v>
      </c>
      <c r="S22" s="2">
        <v>0.88888888888888895</v>
      </c>
      <c r="T22" s="2">
        <v>0.66666666666666696</v>
      </c>
      <c r="U22" s="2">
        <v>0</v>
      </c>
      <c r="V22" s="2">
        <v>0.9</v>
      </c>
      <c r="W22" s="2">
        <v>0.9</v>
      </c>
      <c r="X22" s="2">
        <v>0.85714285714285698</v>
      </c>
      <c r="Y22" s="2">
        <v>0.88888888888888895</v>
      </c>
      <c r="Z22" s="2">
        <v>0.85714285714285698</v>
      </c>
    </row>
    <row r="23" spans="1:26" x14ac:dyDescent="0.35">
      <c r="A23" s="2" t="s">
        <v>1022</v>
      </c>
      <c r="B23" s="2">
        <v>0.77777777777777801</v>
      </c>
      <c r="C23" s="2">
        <v>0.88888888888888895</v>
      </c>
      <c r="D23" s="2">
        <v>0.9</v>
      </c>
      <c r="E23" s="2">
        <v>0.9</v>
      </c>
      <c r="F23" s="2">
        <v>0.8</v>
      </c>
      <c r="G23" s="2">
        <v>0.875</v>
      </c>
      <c r="H23" s="2">
        <v>0.76923076923076905</v>
      </c>
      <c r="I23" s="2">
        <v>0.75</v>
      </c>
      <c r="J23" s="2">
        <v>0.81818181818181801</v>
      </c>
      <c r="K23" s="2">
        <v>0.84615384615384603</v>
      </c>
      <c r="L23" s="2">
        <v>0.84615384615384603</v>
      </c>
      <c r="M23" s="2">
        <v>0.85714285714285698</v>
      </c>
      <c r="N23" s="2">
        <v>0.91666666666666696</v>
      </c>
      <c r="O23" s="2">
        <v>0.92857142857142905</v>
      </c>
      <c r="P23" s="2">
        <v>0.83333333333333304</v>
      </c>
      <c r="Q23" s="2">
        <v>0.8</v>
      </c>
      <c r="R23" s="2">
        <v>0.8</v>
      </c>
      <c r="S23" s="2">
        <v>0.91666666666666696</v>
      </c>
      <c r="T23" s="2">
        <v>0.92857142857142905</v>
      </c>
      <c r="U23" s="2">
        <v>0.9</v>
      </c>
      <c r="V23" s="2">
        <v>0</v>
      </c>
      <c r="W23" s="2">
        <v>0.72727272727272696</v>
      </c>
      <c r="X23" s="2">
        <v>0.42857142857142899</v>
      </c>
      <c r="Y23" s="2">
        <v>0.7</v>
      </c>
      <c r="Z23" s="2">
        <v>0.625</v>
      </c>
    </row>
    <row r="24" spans="1:26" x14ac:dyDescent="0.35">
      <c r="A24" s="2" t="s">
        <v>1023</v>
      </c>
      <c r="B24" s="2">
        <v>0.77777777777777801</v>
      </c>
      <c r="C24" s="2">
        <v>0.88888888888888895</v>
      </c>
      <c r="D24" s="2">
        <v>0.9</v>
      </c>
      <c r="E24" s="2">
        <v>0.9</v>
      </c>
      <c r="F24" s="2">
        <v>0.8</v>
      </c>
      <c r="G24" s="2">
        <v>0.875</v>
      </c>
      <c r="H24" s="2">
        <v>0.85714285714285698</v>
      </c>
      <c r="I24" s="2">
        <v>0.84615384615384603</v>
      </c>
      <c r="J24" s="2">
        <v>0.81818181818181801</v>
      </c>
      <c r="K24" s="2">
        <v>0.84615384615384603</v>
      </c>
      <c r="L24" s="2">
        <v>0.63636363636363602</v>
      </c>
      <c r="M24" s="2">
        <v>0.66666666666666696</v>
      </c>
      <c r="N24" s="2">
        <v>0.91666666666666696</v>
      </c>
      <c r="O24" s="2">
        <v>1</v>
      </c>
      <c r="P24" s="2">
        <v>0.83333333333333304</v>
      </c>
      <c r="Q24" s="2">
        <v>0.66666666666666696</v>
      </c>
      <c r="R24" s="2">
        <v>0.8</v>
      </c>
      <c r="S24" s="2">
        <v>0.81818181818181801</v>
      </c>
      <c r="T24" s="2">
        <v>0.92857142857142905</v>
      </c>
      <c r="U24" s="2">
        <v>0.9</v>
      </c>
      <c r="V24" s="2">
        <v>0.72727272727272696</v>
      </c>
      <c r="W24" s="2">
        <v>0</v>
      </c>
      <c r="X24" s="2">
        <v>0.625</v>
      </c>
      <c r="Y24" s="2">
        <v>0.7</v>
      </c>
      <c r="Z24" s="2">
        <v>0.625</v>
      </c>
    </row>
    <row r="25" spans="1:26" x14ac:dyDescent="0.35">
      <c r="A25" s="2" t="s">
        <v>1024</v>
      </c>
      <c r="B25" s="2">
        <v>0.66666666666666696</v>
      </c>
      <c r="C25" s="2">
        <v>0.83333333333333304</v>
      </c>
      <c r="D25" s="2">
        <v>0.85714285714285698</v>
      </c>
      <c r="E25" s="2">
        <v>0.85714285714285698</v>
      </c>
      <c r="F25" s="2">
        <v>0.71428571428571397</v>
      </c>
      <c r="G25" s="2">
        <v>0.84615384615384603</v>
      </c>
      <c r="H25" s="2">
        <v>0.81818181818181801</v>
      </c>
      <c r="I25" s="2">
        <v>0.8</v>
      </c>
      <c r="J25" s="2">
        <v>0.75</v>
      </c>
      <c r="K25" s="2">
        <v>0.8</v>
      </c>
      <c r="L25" s="2">
        <v>0.8</v>
      </c>
      <c r="M25" s="2">
        <v>0.81818181818181801</v>
      </c>
      <c r="N25" s="2">
        <v>0.88888888888888895</v>
      </c>
      <c r="O25" s="2">
        <v>1</v>
      </c>
      <c r="P25" s="2">
        <v>0.77777777777777801</v>
      </c>
      <c r="Q25" s="2">
        <v>0.71428571428571397</v>
      </c>
      <c r="R25" s="2">
        <v>0.71428571428571397</v>
      </c>
      <c r="S25" s="2">
        <v>0.88888888888888895</v>
      </c>
      <c r="T25" s="2">
        <v>0.90909090909090895</v>
      </c>
      <c r="U25" s="2">
        <v>0.85714285714285698</v>
      </c>
      <c r="V25" s="2">
        <v>0.42857142857142899</v>
      </c>
      <c r="W25" s="2">
        <v>0.625</v>
      </c>
      <c r="X25" s="2">
        <v>0</v>
      </c>
      <c r="Y25" s="2">
        <v>0.75</v>
      </c>
      <c r="Z25" s="2">
        <v>0.66666666666666696</v>
      </c>
    </row>
    <row r="26" spans="1:26" x14ac:dyDescent="0.35">
      <c r="A26" s="2" t="s">
        <v>1025</v>
      </c>
      <c r="B26" s="2">
        <v>0.75</v>
      </c>
      <c r="C26" s="2">
        <v>0.875</v>
      </c>
      <c r="D26" s="2">
        <v>0.88888888888888895</v>
      </c>
      <c r="E26" s="2">
        <v>0.88888888888888895</v>
      </c>
      <c r="F26" s="2">
        <v>0.77777777777777801</v>
      </c>
      <c r="G26" s="2">
        <v>0.86666666666666703</v>
      </c>
      <c r="H26" s="2">
        <v>0.75</v>
      </c>
      <c r="I26" s="2">
        <v>0.72727272727272696</v>
      </c>
      <c r="J26" s="2">
        <v>0.8</v>
      </c>
      <c r="K26" s="2">
        <v>0.83333333333333304</v>
      </c>
      <c r="L26" s="2">
        <v>0.72727272727272696</v>
      </c>
      <c r="M26" s="2">
        <v>0.75</v>
      </c>
      <c r="N26" s="2">
        <v>0.90909090909090895</v>
      </c>
      <c r="O26" s="2">
        <v>0.83333333333333304</v>
      </c>
      <c r="P26" s="2">
        <v>0.81818181818181801</v>
      </c>
      <c r="Q26" s="2">
        <v>0.625</v>
      </c>
      <c r="R26" s="2">
        <v>0.77777777777777801</v>
      </c>
      <c r="S26" s="2">
        <v>0.66666666666666696</v>
      </c>
      <c r="T26" s="2">
        <v>0.83333333333333304</v>
      </c>
      <c r="U26" s="2">
        <v>0.88888888888888895</v>
      </c>
      <c r="V26" s="2">
        <v>0.7</v>
      </c>
      <c r="W26" s="2">
        <v>0.7</v>
      </c>
      <c r="X26" s="2">
        <v>0.75</v>
      </c>
      <c r="Y26" s="2">
        <v>0</v>
      </c>
      <c r="Z26" s="2">
        <v>0.57142857142857095</v>
      </c>
    </row>
    <row r="27" spans="1:26" x14ac:dyDescent="0.35">
      <c r="A27" s="2" t="s">
        <v>1026</v>
      </c>
      <c r="B27" s="2">
        <v>0.85714285714285698</v>
      </c>
      <c r="C27" s="2">
        <v>1</v>
      </c>
      <c r="D27" s="2">
        <v>1</v>
      </c>
      <c r="E27" s="2">
        <v>1</v>
      </c>
      <c r="F27" s="2">
        <v>0.875</v>
      </c>
      <c r="G27" s="2">
        <v>0.92857142857142905</v>
      </c>
      <c r="H27" s="2">
        <v>0.81818181818181801</v>
      </c>
      <c r="I27" s="2">
        <v>0.8</v>
      </c>
      <c r="J27" s="2">
        <v>0.88888888888888895</v>
      </c>
      <c r="K27" s="2">
        <v>0.90909090909090895</v>
      </c>
      <c r="L27" s="2">
        <v>0.8</v>
      </c>
      <c r="M27" s="2">
        <v>0.81818181818181801</v>
      </c>
      <c r="N27" s="2">
        <v>0.88888888888888895</v>
      </c>
      <c r="O27" s="2">
        <v>0.90909090909090895</v>
      </c>
      <c r="P27" s="2">
        <v>0.9</v>
      </c>
      <c r="Q27" s="2">
        <v>0.875</v>
      </c>
      <c r="R27" s="2">
        <v>0.875</v>
      </c>
      <c r="S27" s="2">
        <v>0.88888888888888895</v>
      </c>
      <c r="T27" s="2">
        <v>0.90909090909090895</v>
      </c>
      <c r="U27" s="2">
        <v>0.85714285714285698</v>
      </c>
      <c r="V27" s="2">
        <v>0.625</v>
      </c>
      <c r="W27" s="2">
        <v>0.625</v>
      </c>
      <c r="X27" s="2">
        <v>0.66666666666666696</v>
      </c>
      <c r="Y27" s="2">
        <v>0.57142857142857095</v>
      </c>
      <c r="Z27" s="2">
        <v>0</v>
      </c>
    </row>
    <row r="29" spans="1:26" s="52" customFormat="1" ht="16.75" x14ac:dyDescent="0.35">
      <c r="A29" s="52" t="s">
        <v>1041</v>
      </c>
    </row>
    <row r="30" spans="1:26" x14ac:dyDescent="0.35">
      <c r="B30" s="2" t="s">
        <v>1002</v>
      </c>
      <c r="C30" s="2" t="s">
        <v>1003</v>
      </c>
      <c r="D30" s="2" t="s">
        <v>1004</v>
      </c>
      <c r="E30" s="2" t="s">
        <v>1005</v>
      </c>
      <c r="F30" s="2" t="s">
        <v>1006</v>
      </c>
      <c r="G30" s="2" t="s">
        <v>1007</v>
      </c>
      <c r="H30" s="2" t="s">
        <v>1008</v>
      </c>
      <c r="I30" s="2" t="s">
        <v>1009</v>
      </c>
      <c r="J30" s="2" t="s">
        <v>1010</v>
      </c>
      <c r="K30" s="2" t="s">
        <v>1011</v>
      </c>
      <c r="L30" s="2" t="s">
        <v>1012</v>
      </c>
      <c r="M30" s="2" t="s">
        <v>1013</v>
      </c>
      <c r="N30" s="2" t="s">
        <v>1014</v>
      </c>
      <c r="O30" s="2" t="s">
        <v>1015</v>
      </c>
      <c r="P30" s="2" t="s">
        <v>1016</v>
      </c>
      <c r="Q30" s="2" t="s">
        <v>1017</v>
      </c>
      <c r="R30" s="2" t="s">
        <v>1018</v>
      </c>
      <c r="S30" s="2" t="s">
        <v>1019</v>
      </c>
      <c r="T30" s="2" t="s">
        <v>1020</v>
      </c>
      <c r="U30" s="2" t="s">
        <v>1021</v>
      </c>
      <c r="V30" s="2" t="s">
        <v>1022</v>
      </c>
      <c r="W30" s="2" t="s">
        <v>1023</v>
      </c>
      <c r="X30" s="2" t="s">
        <v>1024</v>
      </c>
      <c r="Y30" s="2" t="s">
        <v>1025</v>
      </c>
      <c r="Z30" s="2" t="s">
        <v>1026</v>
      </c>
    </row>
    <row r="31" spans="1:26" x14ac:dyDescent="0.35">
      <c r="A31" s="2" t="s">
        <v>1002</v>
      </c>
      <c r="B31" s="2">
        <v>0</v>
      </c>
      <c r="C31" s="2">
        <v>0.4</v>
      </c>
      <c r="D31" s="2">
        <v>0.4</v>
      </c>
      <c r="E31" s="2">
        <v>0.66666666666666696</v>
      </c>
      <c r="F31" s="2">
        <v>0.33333333333333298</v>
      </c>
      <c r="G31" s="2">
        <v>0.16666666666666699</v>
      </c>
      <c r="H31" s="2">
        <v>0.2</v>
      </c>
      <c r="I31" s="2">
        <v>0.4</v>
      </c>
      <c r="J31" s="2">
        <v>0.28571428571428598</v>
      </c>
      <c r="K31" s="2">
        <v>0.4</v>
      </c>
      <c r="L31" s="2">
        <v>0.22222222222222199</v>
      </c>
      <c r="M31" s="2">
        <v>0.36363636363636398</v>
      </c>
      <c r="N31" s="2">
        <v>0.66666666666666696</v>
      </c>
      <c r="O31" s="2">
        <v>0.54545454545454497</v>
      </c>
      <c r="P31" s="2">
        <v>0.44444444444444398</v>
      </c>
      <c r="Q31" s="2">
        <v>0.33333333333333298</v>
      </c>
      <c r="R31" s="2">
        <v>0.57142857142857095</v>
      </c>
      <c r="S31" s="2">
        <v>0.66666666666666696</v>
      </c>
      <c r="T31" s="2">
        <v>0.54545454545454497</v>
      </c>
      <c r="U31" s="2">
        <v>0.85714285714285698</v>
      </c>
      <c r="V31" s="2">
        <v>0.44444444444444398</v>
      </c>
      <c r="W31" s="2">
        <v>0.44444444444444398</v>
      </c>
      <c r="X31" s="2">
        <v>0.66666666666666696</v>
      </c>
      <c r="Y31" s="2">
        <v>0.5</v>
      </c>
      <c r="Z31" s="2">
        <v>0.85714285714285698</v>
      </c>
    </row>
    <row r="32" spans="1:26" x14ac:dyDescent="0.35">
      <c r="A32" s="2" t="s">
        <v>1003</v>
      </c>
      <c r="B32" s="2">
        <v>0.4</v>
      </c>
      <c r="C32" s="2">
        <v>0</v>
      </c>
      <c r="D32" s="2">
        <v>0</v>
      </c>
      <c r="E32" s="2">
        <v>0</v>
      </c>
      <c r="F32" s="2">
        <v>0.33333333333333298</v>
      </c>
      <c r="G32" s="2">
        <v>0.16666666666666699</v>
      </c>
      <c r="H32" s="2">
        <v>0.2</v>
      </c>
      <c r="I32" s="2">
        <v>0.22222222222222199</v>
      </c>
      <c r="J32" s="2">
        <v>0.28571428571428598</v>
      </c>
      <c r="K32" s="2">
        <v>0.4</v>
      </c>
      <c r="L32" s="2">
        <v>0.22222222222222199</v>
      </c>
      <c r="M32" s="2">
        <v>0.36363636363636398</v>
      </c>
      <c r="N32" s="2">
        <v>0.5</v>
      </c>
      <c r="O32" s="2">
        <v>0.22222222222222199</v>
      </c>
      <c r="P32" s="2">
        <v>0.44444444444444398</v>
      </c>
      <c r="Q32" s="2">
        <v>0.33333333333333298</v>
      </c>
      <c r="R32" s="2">
        <v>0.57142857142857095</v>
      </c>
      <c r="S32" s="2">
        <v>0.66666666666666696</v>
      </c>
      <c r="T32" s="2">
        <v>0.54545454545454497</v>
      </c>
      <c r="U32" s="2">
        <v>0.66666666666666696</v>
      </c>
      <c r="V32" s="2">
        <v>0.44444444444444398</v>
      </c>
      <c r="W32" s="2">
        <v>0.44444444444444398</v>
      </c>
      <c r="X32" s="2">
        <v>0.66666666666666696</v>
      </c>
      <c r="Y32" s="2">
        <v>0.5</v>
      </c>
      <c r="Z32" s="2">
        <v>0.85714285714285698</v>
      </c>
    </row>
    <row r="33" spans="1:26" x14ac:dyDescent="0.35">
      <c r="A33" s="2" t="s">
        <v>1004</v>
      </c>
      <c r="B33" s="2">
        <v>0.4</v>
      </c>
      <c r="C33" s="2">
        <v>0</v>
      </c>
      <c r="D33" s="2">
        <v>0</v>
      </c>
      <c r="E33" s="2">
        <v>0.4</v>
      </c>
      <c r="F33" s="2">
        <v>0.57142857142857095</v>
      </c>
      <c r="G33" s="2">
        <v>0.30769230769230799</v>
      </c>
      <c r="H33" s="2">
        <v>0.2</v>
      </c>
      <c r="I33" s="2">
        <v>0.4</v>
      </c>
      <c r="J33" s="2">
        <v>0.5</v>
      </c>
      <c r="K33" s="2">
        <v>0.54545454545454497</v>
      </c>
      <c r="L33" s="2">
        <v>0.4</v>
      </c>
      <c r="M33" s="2">
        <v>0.5</v>
      </c>
      <c r="N33" s="2">
        <v>0.66666666666666696</v>
      </c>
      <c r="O33" s="2">
        <v>0.4</v>
      </c>
      <c r="P33" s="2">
        <v>0.6</v>
      </c>
      <c r="Q33" s="2">
        <v>0.57142857142857095</v>
      </c>
      <c r="R33" s="2">
        <v>0.75</v>
      </c>
      <c r="S33" s="2">
        <v>0.8</v>
      </c>
      <c r="T33" s="2">
        <v>0.66666666666666696</v>
      </c>
      <c r="U33" s="2">
        <v>0.85714285714285698</v>
      </c>
      <c r="V33" s="2">
        <v>0.6</v>
      </c>
      <c r="W33" s="2">
        <v>0.6</v>
      </c>
      <c r="X33" s="2">
        <v>0.85714285714285698</v>
      </c>
      <c r="Y33" s="2">
        <v>0.66666666666666696</v>
      </c>
      <c r="Z33" s="2">
        <v>1</v>
      </c>
    </row>
    <row r="34" spans="1:26" x14ac:dyDescent="0.35">
      <c r="A34" s="2" t="s">
        <v>1005</v>
      </c>
      <c r="B34" s="2">
        <v>0.66666666666666696</v>
      </c>
      <c r="C34" s="2">
        <v>0</v>
      </c>
      <c r="D34" s="2">
        <v>0.4</v>
      </c>
      <c r="E34" s="2">
        <v>0</v>
      </c>
      <c r="F34" s="2">
        <v>0.57142857142857095</v>
      </c>
      <c r="G34" s="2">
        <v>0.16666666666666699</v>
      </c>
      <c r="H34" s="2">
        <v>0.36363636363636398</v>
      </c>
      <c r="I34" s="2">
        <v>0.4</v>
      </c>
      <c r="J34" s="2">
        <v>0.5</v>
      </c>
      <c r="K34" s="2">
        <v>0.54545454545454497</v>
      </c>
      <c r="L34" s="2">
        <v>0.4</v>
      </c>
      <c r="M34" s="2">
        <v>0.5</v>
      </c>
      <c r="N34" s="2">
        <v>0.66666666666666696</v>
      </c>
      <c r="O34" s="2">
        <v>0.4</v>
      </c>
      <c r="P34" s="2">
        <v>0.6</v>
      </c>
      <c r="Q34" s="2">
        <v>0.57142857142857095</v>
      </c>
      <c r="R34" s="2">
        <v>0.75</v>
      </c>
      <c r="S34" s="2">
        <v>0.8</v>
      </c>
      <c r="T34" s="2">
        <v>0.66666666666666696</v>
      </c>
      <c r="U34" s="2">
        <v>0.85714285714285698</v>
      </c>
      <c r="V34" s="2">
        <v>0.6</v>
      </c>
      <c r="W34" s="2">
        <v>0.6</v>
      </c>
      <c r="X34" s="2">
        <v>0.85714285714285698</v>
      </c>
      <c r="Y34" s="2">
        <v>0.66666666666666696</v>
      </c>
      <c r="Z34" s="2">
        <v>1</v>
      </c>
    </row>
    <row r="35" spans="1:26" x14ac:dyDescent="0.35">
      <c r="A35" s="2" t="s">
        <v>1006</v>
      </c>
      <c r="B35" s="2">
        <v>0.33333333333333298</v>
      </c>
      <c r="C35" s="2">
        <v>0.33333333333333298</v>
      </c>
      <c r="D35" s="2">
        <v>0.57142857142857095</v>
      </c>
      <c r="E35" s="2">
        <v>0.57142857142857095</v>
      </c>
      <c r="F35" s="2">
        <v>0</v>
      </c>
      <c r="G35" s="2">
        <v>0.16666666666666699</v>
      </c>
      <c r="H35" s="2">
        <v>0.5</v>
      </c>
      <c r="I35" s="2">
        <v>0.4</v>
      </c>
      <c r="J35" s="2">
        <v>0.28571428571428598</v>
      </c>
      <c r="K35" s="2">
        <v>0.4</v>
      </c>
      <c r="L35" s="2">
        <v>0.22222222222222199</v>
      </c>
      <c r="M35" s="2">
        <v>0.36363636363636398</v>
      </c>
      <c r="N35" s="2">
        <v>0.66666666666666696</v>
      </c>
      <c r="O35" s="2">
        <v>0.66666666666666696</v>
      </c>
      <c r="P35" s="2">
        <v>0.6</v>
      </c>
      <c r="Q35" s="2">
        <v>0.57142857142857095</v>
      </c>
      <c r="R35" s="2">
        <v>0.75</v>
      </c>
      <c r="S35" s="2">
        <v>0.8</v>
      </c>
      <c r="T35" s="2">
        <v>0.54545454545454497</v>
      </c>
      <c r="U35" s="2">
        <v>0.75</v>
      </c>
      <c r="V35" s="2">
        <v>0.6</v>
      </c>
      <c r="W35" s="2">
        <v>0.6</v>
      </c>
      <c r="X35" s="2">
        <v>0.57142857142857095</v>
      </c>
      <c r="Y35" s="2">
        <v>0.66666666666666696</v>
      </c>
      <c r="Z35" s="2">
        <v>0.75</v>
      </c>
    </row>
    <row r="36" spans="1:26" x14ac:dyDescent="0.35">
      <c r="A36" s="2" t="s">
        <v>1007</v>
      </c>
      <c r="B36" s="2">
        <v>0.16666666666666699</v>
      </c>
      <c r="C36" s="2">
        <v>0.16666666666666699</v>
      </c>
      <c r="D36" s="2">
        <v>0.30769230769230799</v>
      </c>
      <c r="E36" s="2">
        <v>0.16666666666666699</v>
      </c>
      <c r="F36" s="2">
        <v>0.16666666666666699</v>
      </c>
      <c r="G36" s="2">
        <v>0</v>
      </c>
      <c r="H36" s="2">
        <v>0.625</v>
      </c>
      <c r="I36" s="2">
        <v>0.53333333333333299</v>
      </c>
      <c r="J36" s="2">
        <v>0.16666666666666699</v>
      </c>
      <c r="K36" s="2">
        <v>0.53333333333333299</v>
      </c>
      <c r="L36" s="2">
        <v>0.53333333333333299</v>
      </c>
      <c r="M36" s="2">
        <v>0.70588235294117696</v>
      </c>
      <c r="N36" s="2">
        <v>0.625</v>
      </c>
      <c r="O36" s="2">
        <v>0.77777777777777801</v>
      </c>
      <c r="P36" s="2">
        <v>0.625</v>
      </c>
      <c r="Q36" s="2">
        <v>0.30769230769230799</v>
      </c>
      <c r="R36" s="2">
        <v>0.30769230769230799</v>
      </c>
      <c r="S36" s="2">
        <v>0.625</v>
      </c>
      <c r="T36" s="2">
        <v>0.70588235294117696</v>
      </c>
      <c r="U36" s="2">
        <v>0.42857142857142899</v>
      </c>
      <c r="V36" s="2">
        <v>0.625</v>
      </c>
      <c r="W36" s="2">
        <v>0.625</v>
      </c>
      <c r="X36" s="2">
        <v>0.30769230769230799</v>
      </c>
      <c r="Y36" s="2">
        <v>0.53333333333333299</v>
      </c>
      <c r="Z36" s="2">
        <v>0.42857142857142899</v>
      </c>
    </row>
    <row r="37" spans="1:26" x14ac:dyDescent="0.35">
      <c r="A37" s="2" t="s">
        <v>1008</v>
      </c>
      <c r="B37" s="2">
        <v>0.2</v>
      </c>
      <c r="C37" s="2">
        <v>0.2</v>
      </c>
      <c r="D37" s="2">
        <v>0.2</v>
      </c>
      <c r="E37" s="2">
        <v>0.36363636363636398</v>
      </c>
      <c r="F37" s="2">
        <v>0.5</v>
      </c>
      <c r="G37" s="2">
        <v>0.625</v>
      </c>
      <c r="H37" s="2">
        <v>0</v>
      </c>
      <c r="I37" s="2">
        <v>0.36363636363636398</v>
      </c>
      <c r="J37" s="2">
        <v>0.36363636363636398</v>
      </c>
      <c r="K37" s="2">
        <v>0.71428571428571397</v>
      </c>
      <c r="L37" s="2">
        <v>0.8</v>
      </c>
      <c r="M37" s="2">
        <v>0.8</v>
      </c>
      <c r="N37" s="2">
        <v>0.61538461538461497</v>
      </c>
      <c r="O37" s="2">
        <v>0.8</v>
      </c>
      <c r="P37" s="2">
        <v>0.71428571428571397</v>
      </c>
      <c r="Q37" s="2">
        <v>0.5</v>
      </c>
      <c r="R37" s="2">
        <v>0.5</v>
      </c>
      <c r="S37" s="2">
        <v>0.71428571428571397</v>
      </c>
      <c r="T37" s="2">
        <v>0.875</v>
      </c>
      <c r="U37" s="2">
        <v>0.36363636363636398</v>
      </c>
      <c r="V37" s="2">
        <v>0.61538461538461497</v>
      </c>
      <c r="W37" s="2">
        <v>0.71428571428571397</v>
      </c>
      <c r="X37" s="2">
        <v>0.36363636363636398</v>
      </c>
      <c r="Y37" s="2">
        <v>0.5</v>
      </c>
      <c r="Z37" s="2">
        <v>0.36363636363636398</v>
      </c>
    </row>
    <row r="38" spans="1:26" x14ac:dyDescent="0.35">
      <c r="A38" s="2" t="s">
        <v>1009</v>
      </c>
      <c r="B38" s="2">
        <v>0.4</v>
      </c>
      <c r="C38" s="2">
        <v>0.22222222222222199</v>
      </c>
      <c r="D38" s="2">
        <v>0.4</v>
      </c>
      <c r="E38" s="2">
        <v>0.4</v>
      </c>
      <c r="F38" s="2">
        <v>0.4</v>
      </c>
      <c r="G38" s="2">
        <v>0.53333333333333299</v>
      </c>
      <c r="H38" s="2">
        <v>0.36363636363636398</v>
      </c>
      <c r="I38" s="2">
        <v>0</v>
      </c>
      <c r="J38" s="2">
        <v>0.54545454545454497</v>
      </c>
      <c r="K38" s="2">
        <v>0.76923076923076905</v>
      </c>
      <c r="L38" s="2">
        <v>0.85714285714285698</v>
      </c>
      <c r="M38" s="2">
        <v>0.71428571428571397</v>
      </c>
      <c r="N38" s="2">
        <v>0.54545454545454497</v>
      </c>
      <c r="O38" s="2">
        <v>0.85714285714285698</v>
      </c>
      <c r="P38" s="2">
        <v>0.76923076923076905</v>
      </c>
      <c r="Q38" s="2">
        <v>0.54545454545454497</v>
      </c>
      <c r="R38" s="2">
        <v>0.54545454545454497</v>
      </c>
      <c r="S38" s="2">
        <v>0.76923076923076905</v>
      </c>
      <c r="T38" s="2">
        <v>0.93333333333333302</v>
      </c>
      <c r="U38" s="2">
        <v>0.4</v>
      </c>
      <c r="V38" s="2">
        <v>0.66666666666666696</v>
      </c>
      <c r="W38" s="2">
        <v>0.76923076923076905</v>
      </c>
      <c r="X38" s="2">
        <v>0.4</v>
      </c>
      <c r="Y38" s="2">
        <v>0.54545454545454497</v>
      </c>
      <c r="Z38" s="2">
        <v>0.4</v>
      </c>
    </row>
    <row r="39" spans="1:26" x14ac:dyDescent="0.35">
      <c r="A39" s="2" t="s">
        <v>1010</v>
      </c>
      <c r="B39" s="2">
        <v>0.28571428571428598</v>
      </c>
      <c r="C39" s="2">
        <v>0.28571428571428598</v>
      </c>
      <c r="D39" s="2">
        <v>0.5</v>
      </c>
      <c r="E39" s="2">
        <v>0.5</v>
      </c>
      <c r="F39" s="2">
        <v>0.28571428571428598</v>
      </c>
      <c r="G39" s="2">
        <v>0.16666666666666699</v>
      </c>
      <c r="H39" s="2">
        <v>0.36363636363636398</v>
      </c>
      <c r="I39" s="2">
        <v>0.54545454545454497</v>
      </c>
      <c r="J39" s="2">
        <v>0</v>
      </c>
      <c r="K39" s="2">
        <v>0.54545454545454497</v>
      </c>
      <c r="L39" s="2">
        <v>0.4</v>
      </c>
      <c r="M39" s="2">
        <v>0.36363636363636398</v>
      </c>
      <c r="N39" s="2">
        <v>0.90909090909090895</v>
      </c>
      <c r="O39" s="2">
        <v>0.76923076923076905</v>
      </c>
      <c r="P39" s="2">
        <v>0.72727272727272696</v>
      </c>
      <c r="Q39" s="2">
        <v>0.5</v>
      </c>
      <c r="R39" s="2">
        <v>0.66666666666666696</v>
      </c>
      <c r="S39" s="2">
        <v>0.90909090909090895</v>
      </c>
      <c r="T39" s="2">
        <v>0.66666666666666696</v>
      </c>
      <c r="U39" s="2">
        <v>0.66666666666666696</v>
      </c>
      <c r="V39" s="2">
        <v>0.72727272727272696</v>
      </c>
      <c r="W39" s="2">
        <v>0.72727272727272696</v>
      </c>
      <c r="X39" s="2">
        <v>0.5</v>
      </c>
      <c r="Y39" s="2">
        <v>0.8</v>
      </c>
      <c r="Z39" s="2">
        <v>0.66666666666666696</v>
      </c>
    </row>
    <row r="40" spans="1:26" x14ac:dyDescent="0.35">
      <c r="A40" s="2" t="s">
        <v>1011</v>
      </c>
      <c r="B40" s="2">
        <v>0.4</v>
      </c>
      <c r="C40" s="2">
        <v>0.4</v>
      </c>
      <c r="D40" s="2">
        <v>0.54545454545454497</v>
      </c>
      <c r="E40" s="2">
        <v>0.54545454545454497</v>
      </c>
      <c r="F40" s="2">
        <v>0.4</v>
      </c>
      <c r="G40" s="2">
        <v>0.53333333333333299</v>
      </c>
      <c r="H40" s="2">
        <v>0.71428571428571397</v>
      </c>
      <c r="I40" s="2">
        <v>0.76923076923076905</v>
      </c>
      <c r="J40" s="2">
        <v>0.54545454545454497</v>
      </c>
      <c r="K40" s="2">
        <v>0</v>
      </c>
      <c r="L40" s="2">
        <v>0.85714285714285698</v>
      </c>
      <c r="M40" s="2">
        <v>0.71428571428571397</v>
      </c>
      <c r="N40" s="2">
        <v>0.66666666666666696</v>
      </c>
      <c r="O40" s="2">
        <v>1</v>
      </c>
      <c r="P40" s="2">
        <v>0.76923076923076905</v>
      </c>
      <c r="Q40" s="2">
        <v>0.54545454545454497</v>
      </c>
      <c r="R40" s="2">
        <v>0.54545454545454497</v>
      </c>
      <c r="S40" s="2">
        <v>0.76923076923076905</v>
      </c>
      <c r="T40" s="2">
        <v>0.93333333333333302</v>
      </c>
      <c r="U40" s="2">
        <v>0.54545454545454497</v>
      </c>
      <c r="V40" s="2">
        <v>0.76923076923076905</v>
      </c>
      <c r="W40" s="2">
        <v>0.76923076923076905</v>
      </c>
      <c r="X40" s="2">
        <v>0.4</v>
      </c>
      <c r="Y40" s="2">
        <v>0.66666666666666696</v>
      </c>
      <c r="Z40" s="2">
        <v>0.54545454545454497</v>
      </c>
    </row>
    <row r="41" spans="1:26" x14ac:dyDescent="0.35">
      <c r="A41" s="2" t="s">
        <v>1012</v>
      </c>
      <c r="B41" s="2">
        <v>0.22222222222222199</v>
      </c>
      <c r="C41" s="2">
        <v>0.22222222222222199</v>
      </c>
      <c r="D41" s="2">
        <v>0.4</v>
      </c>
      <c r="E41" s="2">
        <v>0.4</v>
      </c>
      <c r="F41" s="2">
        <v>0.22222222222222199</v>
      </c>
      <c r="G41" s="2">
        <v>0.53333333333333299</v>
      </c>
      <c r="H41" s="2">
        <v>0.8</v>
      </c>
      <c r="I41" s="2">
        <v>0.85714285714285698</v>
      </c>
      <c r="J41" s="2">
        <v>0.4</v>
      </c>
      <c r="K41" s="2">
        <v>0.85714285714285698</v>
      </c>
      <c r="L41" s="2">
        <v>0</v>
      </c>
      <c r="M41" s="2">
        <v>0.2</v>
      </c>
      <c r="N41" s="2">
        <v>0.66666666666666696</v>
      </c>
      <c r="O41" s="2">
        <v>0.93333333333333302</v>
      </c>
      <c r="P41" s="2">
        <v>0.66666666666666696</v>
      </c>
      <c r="Q41" s="2">
        <v>0.22222222222222199</v>
      </c>
      <c r="R41" s="2">
        <v>0.54545454545454497</v>
      </c>
      <c r="S41" s="2">
        <v>0.66666666666666696</v>
      </c>
      <c r="T41" s="2">
        <v>0.76923076923076905</v>
      </c>
      <c r="U41" s="2">
        <v>0.54545454545454497</v>
      </c>
      <c r="V41" s="2">
        <v>0.76923076923076905</v>
      </c>
      <c r="W41" s="2">
        <v>0.54545454545454497</v>
      </c>
      <c r="X41" s="2">
        <v>0.4</v>
      </c>
      <c r="Y41" s="2">
        <v>0.54545454545454497</v>
      </c>
      <c r="Z41" s="2">
        <v>0.4</v>
      </c>
    </row>
    <row r="42" spans="1:26" x14ac:dyDescent="0.35">
      <c r="A42" s="2" t="s">
        <v>1013</v>
      </c>
      <c r="B42" s="2">
        <v>0.36363636363636398</v>
      </c>
      <c r="C42" s="2">
        <v>0.36363636363636398</v>
      </c>
      <c r="D42" s="2">
        <v>0.5</v>
      </c>
      <c r="E42" s="2">
        <v>0.5</v>
      </c>
      <c r="F42" s="2">
        <v>0.36363636363636398</v>
      </c>
      <c r="G42" s="2">
        <v>0.70588235294117696</v>
      </c>
      <c r="H42" s="2">
        <v>0.8</v>
      </c>
      <c r="I42" s="2">
        <v>0.71428571428571397</v>
      </c>
      <c r="J42" s="2">
        <v>0.36363636363636398</v>
      </c>
      <c r="K42" s="2">
        <v>0.71428571428571397</v>
      </c>
      <c r="L42" s="2">
        <v>0.2</v>
      </c>
      <c r="M42" s="2">
        <v>0</v>
      </c>
      <c r="N42" s="2">
        <v>0.61538461538461497</v>
      </c>
      <c r="O42" s="2">
        <v>0.94117647058823495</v>
      </c>
      <c r="P42" s="2">
        <v>0.61538461538461497</v>
      </c>
      <c r="Q42" s="2">
        <v>0.36363636363636398</v>
      </c>
      <c r="R42" s="2">
        <v>0.5</v>
      </c>
      <c r="S42" s="2">
        <v>0.61538461538461497</v>
      </c>
      <c r="T42" s="2">
        <v>0.71428571428571397</v>
      </c>
      <c r="U42" s="2">
        <v>0.5</v>
      </c>
      <c r="V42" s="2">
        <v>0.71428571428571397</v>
      </c>
      <c r="W42" s="2">
        <v>0.5</v>
      </c>
      <c r="X42" s="2">
        <v>0.36363636363636398</v>
      </c>
      <c r="Y42" s="2">
        <v>0.5</v>
      </c>
      <c r="Z42" s="2">
        <v>0.36363636363636398</v>
      </c>
    </row>
    <row r="43" spans="1:26" x14ac:dyDescent="0.35">
      <c r="A43" s="2" t="s">
        <v>1014</v>
      </c>
      <c r="B43" s="2">
        <v>0.66666666666666696</v>
      </c>
      <c r="C43" s="2">
        <v>0.5</v>
      </c>
      <c r="D43" s="2">
        <v>0.66666666666666696</v>
      </c>
      <c r="E43" s="2">
        <v>0.66666666666666696</v>
      </c>
      <c r="F43" s="2">
        <v>0.66666666666666696</v>
      </c>
      <c r="G43" s="2">
        <v>0.625</v>
      </c>
      <c r="H43" s="2">
        <v>0.61538461538461497</v>
      </c>
      <c r="I43" s="2">
        <v>0.54545454545454497</v>
      </c>
      <c r="J43" s="2">
        <v>0.90909090909090895</v>
      </c>
      <c r="K43" s="2">
        <v>0.66666666666666696</v>
      </c>
      <c r="L43" s="2">
        <v>0.66666666666666696</v>
      </c>
      <c r="M43" s="2">
        <v>0.61538461538461497</v>
      </c>
      <c r="N43" s="2">
        <v>0</v>
      </c>
      <c r="O43" s="2">
        <v>0.66666666666666696</v>
      </c>
      <c r="P43" s="2">
        <v>0.6</v>
      </c>
      <c r="Q43" s="2">
        <v>0.8</v>
      </c>
      <c r="R43" s="2">
        <v>0.8</v>
      </c>
      <c r="S43" s="2">
        <v>0.8</v>
      </c>
      <c r="T43" s="2">
        <v>0.54545454545454497</v>
      </c>
      <c r="U43" s="2">
        <v>0.5</v>
      </c>
      <c r="V43" s="2">
        <v>0.83333333333333304</v>
      </c>
      <c r="W43" s="2">
        <v>0.83333333333333304</v>
      </c>
      <c r="X43" s="2">
        <v>0.66666666666666696</v>
      </c>
      <c r="Y43" s="2">
        <v>0.90909090909090895</v>
      </c>
      <c r="Z43" s="2">
        <v>0.66666666666666696</v>
      </c>
    </row>
    <row r="44" spans="1:26" x14ac:dyDescent="0.35">
      <c r="A44" s="2" t="s">
        <v>1015</v>
      </c>
      <c r="B44" s="2">
        <v>0.54545454545454497</v>
      </c>
      <c r="C44" s="2">
        <v>0.22222222222222199</v>
      </c>
      <c r="D44" s="2">
        <v>0.4</v>
      </c>
      <c r="E44" s="2">
        <v>0.4</v>
      </c>
      <c r="F44" s="2">
        <v>0.66666666666666696</v>
      </c>
      <c r="G44" s="2">
        <v>0.77777777777777801</v>
      </c>
      <c r="H44" s="2">
        <v>0.8</v>
      </c>
      <c r="I44" s="2">
        <v>0.85714285714285698</v>
      </c>
      <c r="J44" s="2">
        <v>0.76923076923076905</v>
      </c>
      <c r="K44" s="2">
        <v>1</v>
      </c>
      <c r="L44" s="2">
        <v>0.93333333333333302</v>
      </c>
      <c r="M44" s="2">
        <v>0.94117647058823495</v>
      </c>
      <c r="N44" s="2">
        <v>0.66666666666666696</v>
      </c>
      <c r="O44" s="2">
        <v>0</v>
      </c>
      <c r="P44" s="2">
        <v>0.66666666666666696</v>
      </c>
      <c r="Q44" s="2">
        <v>0.66666666666666696</v>
      </c>
      <c r="R44" s="2">
        <v>0.76923076923076905</v>
      </c>
      <c r="S44" s="2">
        <v>0.76923076923076905</v>
      </c>
      <c r="T44" s="2">
        <v>0.85714285714285698</v>
      </c>
      <c r="U44" s="2">
        <v>0.54545454545454497</v>
      </c>
      <c r="V44" s="2">
        <v>0.85714285714285698</v>
      </c>
      <c r="W44" s="2">
        <v>0.93333333333333302</v>
      </c>
      <c r="X44" s="2">
        <v>0.66666666666666696</v>
      </c>
      <c r="Y44" s="2">
        <v>0.66666666666666696</v>
      </c>
      <c r="Z44" s="2">
        <v>0.54545454545454497</v>
      </c>
    </row>
    <row r="45" spans="1:26" x14ac:dyDescent="0.35">
      <c r="A45" s="2" t="s">
        <v>1016</v>
      </c>
      <c r="B45" s="2">
        <v>0.44444444444444398</v>
      </c>
      <c r="C45" s="2">
        <v>0.44444444444444398</v>
      </c>
      <c r="D45" s="2">
        <v>0.6</v>
      </c>
      <c r="E45" s="2">
        <v>0.6</v>
      </c>
      <c r="F45" s="2">
        <v>0.6</v>
      </c>
      <c r="G45" s="2">
        <v>0.625</v>
      </c>
      <c r="H45" s="2">
        <v>0.71428571428571397</v>
      </c>
      <c r="I45" s="2">
        <v>0.76923076923076905</v>
      </c>
      <c r="J45" s="2">
        <v>0.72727272727272696</v>
      </c>
      <c r="K45" s="2">
        <v>0.76923076923076905</v>
      </c>
      <c r="L45" s="2">
        <v>0.66666666666666696</v>
      </c>
      <c r="M45" s="2">
        <v>0.61538461538461497</v>
      </c>
      <c r="N45" s="2">
        <v>0.6</v>
      </c>
      <c r="O45" s="2">
        <v>0.66666666666666696</v>
      </c>
      <c r="P45" s="2">
        <v>0</v>
      </c>
      <c r="Q45" s="2">
        <v>0.6</v>
      </c>
      <c r="R45" s="2">
        <v>0.6</v>
      </c>
      <c r="S45" s="2">
        <v>0.72727272727272696</v>
      </c>
      <c r="T45" s="2">
        <v>0.66666666666666696</v>
      </c>
      <c r="U45" s="2">
        <v>0.6</v>
      </c>
      <c r="V45" s="2">
        <v>0.83333333333333304</v>
      </c>
      <c r="W45" s="2">
        <v>0.83333333333333304</v>
      </c>
      <c r="X45" s="2">
        <v>0.44444444444444398</v>
      </c>
      <c r="Y45" s="2">
        <v>0.72727272727272696</v>
      </c>
      <c r="Z45" s="2">
        <v>0.6</v>
      </c>
    </row>
    <row r="46" spans="1:26" x14ac:dyDescent="0.35">
      <c r="A46" s="2" t="s">
        <v>1017</v>
      </c>
      <c r="B46" s="2">
        <v>0.33333333333333298</v>
      </c>
      <c r="C46" s="2">
        <v>0.33333333333333298</v>
      </c>
      <c r="D46" s="2">
        <v>0.57142857142857095</v>
      </c>
      <c r="E46" s="2">
        <v>0.57142857142857095</v>
      </c>
      <c r="F46" s="2">
        <v>0.57142857142857095</v>
      </c>
      <c r="G46" s="2">
        <v>0.30769230769230799</v>
      </c>
      <c r="H46" s="2">
        <v>0.5</v>
      </c>
      <c r="I46" s="2">
        <v>0.54545454545454497</v>
      </c>
      <c r="J46" s="2">
        <v>0.5</v>
      </c>
      <c r="K46" s="2">
        <v>0.54545454545454497</v>
      </c>
      <c r="L46" s="2">
        <v>0.22222222222222199</v>
      </c>
      <c r="M46" s="2">
        <v>0.36363636363636398</v>
      </c>
      <c r="N46" s="2">
        <v>0.8</v>
      </c>
      <c r="O46" s="2">
        <v>0.66666666666666696</v>
      </c>
      <c r="P46" s="2">
        <v>0.6</v>
      </c>
      <c r="Q46" s="2">
        <v>0</v>
      </c>
      <c r="R46" s="2">
        <v>0.75</v>
      </c>
      <c r="S46" s="2">
        <v>0.66666666666666696</v>
      </c>
      <c r="T46" s="2">
        <v>0.66666666666666696</v>
      </c>
      <c r="U46" s="2">
        <v>0.75</v>
      </c>
      <c r="V46" s="2">
        <v>0.6</v>
      </c>
      <c r="W46" s="2">
        <v>0.44444444444444398</v>
      </c>
      <c r="X46" s="2">
        <v>0.57142857142857095</v>
      </c>
      <c r="Y46" s="2">
        <v>0.5</v>
      </c>
      <c r="Z46" s="2">
        <v>0.75</v>
      </c>
    </row>
    <row r="47" spans="1:26" x14ac:dyDescent="0.35">
      <c r="A47" s="2" t="s">
        <v>1018</v>
      </c>
      <c r="B47" s="2">
        <v>0.57142857142857095</v>
      </c>
      <c r="C47" s="2">
        <v>0.57142857142857095</v>
      </c>
      <c r="D47" s="2">
        <v>0.75</v>
      </c>
      <c r="E47" s="2">
        <v>0.75</v>
      </c>
      <c r="F47" s="2">
        <v>0.75</v>
      </c>
      <c r="G47" s="2">
        <v>0.30769230769230799</v>
      </c>
      <c r="H47" s="2">
        <v>0.5</v>
      </c>
      <c r="I47" s="2">
        <v>0.54545454545454497</v>
      </c>
      <c r="J47" s="2">
        <v>0.66666666666666696</v>
      </c>
      <c r="K47" s="2">
        <v>0.54545454545454497</v>
      </c>
      <c r="L47" s="2">
        <v>0.54545454545454497</v>
      </c>
      <c r="M47" s="2">
        <v>0.5</v>
      </c>
      <c r="N47" s="2">
        <v>0.8</v>
      </c>
      <c r="O47" s="2">
        <v>0.76923076923076905</v>
      </c>
      <c r="P47" s="2">
        <v>0.6</v>
      </c>
      <c r="Q47" s="2">
        <v>0.75</v>
      </c>
      <c r="R47" s="2">
        <v>0</v>
      </c>
      <c r="S47" s="2">
        <v>0.8</v>
      </c>
      <c r="T47" s="2">
        <v>0.4</v>
      </c>
      <c r="U47" s="2">
        <v>0.33333333333333298</v>
      </c>
      <c r="V47" s="2">
        <v>0.6</v>
      </c>
      <c r="W47" s="2">
        <v>0.6</v>
      </c>
      <c r="X47" s="2">
        <v>0.57142857142857095</v>
      </c>
      <c r="Y47" s="2">
        <v>0.66666666666666696</v>
      </c>
      <c r="Z47" s="2">
        <v>0.75</v>
      </c>
    </row>
    <row r="48" spans="1:26" x14ac:dyDescent="0.35">
      <c r="A48" s="2" t="s">
        <v>1019</v>
      </c>
      <c r="B48" s="2">
        <v>0.66666666666666696</v>
      </c>
      <c r="C48" s="2">
        <v>0.66666666666666696</v>
      </c>
      <c r="D48" s="2">
        <v>0.8</v>
      </c>
      <c r="E48" s="2">
        <v>0.8</v>
      </c>
      <c r="F48" s="2">
        <v>0.8</v>
      </c>
      <c r="G48" s="2">
        <v>0.625</v>
      </c>
      <c r="H48" s="2">
        <v>0.71428571428571397</v>
      </c>
      <c r="I48" s="2">
        <v>0.76923076923076905</v>
      </c>
      <c r="J48" s="2">
        <v>0.90909090909090895</v>
      </c>
      <c r="K48" s="2">
        <v>0.76923076923076905</v>
      </c>
      <c r="L48" s="2">
        <v>0.66666666666666696</v>
      </c>
      <c r="M48" s="2">
        <v>0.61538461538461497</v>
      </c>
      <c r="N48" s="2">
        <v>0.8</v>
      </c>
      <c r="O48" s="2">
        <v>0.76923076923076905</v>
      </c>
      <c r="P48" s="2">
        <v>0.72727272727272696</v>
      </c>
      <c r="Q48" s="2">
        <v>0.66666666666666696</v>
      </c>
      <c r="R48" s="2">
        <v>0.8</v>
      </c>
      <c r="S48" s="2">
        <v>0</v>
      </c>
      <c r="T48" s="2">
        <v>0.4</v>
      </c>
      <c r="U48" s="2">
        <v>0.66666666666666696</v>
      </c>
      <c r="V48" s="2">
        <v>0.83333333333333304</v>
      </c>
      <c r="W48" s="2">
        <v>0.72727272727272696</v>
      </c>
      <c r="X48" s="2">
        <v>0.66666666666666696</v>
      </c>
      <c r="Y48" s="2">
        <v>0.66666666666666696</v>
      </c>
      <c r="Z48" s="2">
        <v>0.66666666666666696</v>
      </c>
    </row>
    <row r="49" spans="1:26" x14ac:dyDescent="0.35">
      <c r="A49" s="2" t="s">
        <v>1020</v>
      </c>
      <c r="B49" s="2">
        <v>0.54545454545454497</v>
      </c>
      <c r="C49" s="2">
        <v>0.54545454545454497</v>
      </c>
      <c r="D49" s="2">
        <v>0.66666666666666696</v>
      </c>
      <c r="E49" s="2">
        <v>0.66666666666666696</v>
      </c>
      <c r="F49" s="2">
        <v>0.54545454545454497</v>
      </c>
      <c r="G49" s="2">
        <v>0.70588235294117696</v>
      </c>
      <c r="H49" s="2">
        <v>0.875</v>
      </c>
      <c r="I49" s="2">
        <v>0.93333333333333302</v>
      </c>
      <c r="J49" s="2">
        <v>0.66666666666666696</v>
      </c>
      <c r="K49" s="2">
        <v>0.93333333333333302</v>
      </c>
      <c r="L49" s="2">
        <v>0.76923076923076905</v>
      </c>
      <c r="M49" s="2">
        <v>0.71428571428571397</v>
      </c>
      <c r="N49" s="2">
        <v>0.54545454545454497</v>
      </c>
      <c r="O49" s="2">
        <v>0.85714285714285698</v>
      </c>
      <c r="P49" s="2">
        <v>0.66666666666666696</v>
      </c>
      <c r="Q49" s="2">
        <v>0.66666666666666696</v>
      </c>
      <c r="R49" s="2">
        <v>0.4</v>
      </c>
      <c r="S49" s="2">
        <v>0.4</v>
      </c>
      <c r="T49" s="2">
        <v>0</v>
      </c>
      <c r="U49" s="2">
        <v>0.22222222222222199</v>
      </c>
      <c r="V49" s="2">
        <v>0.85714285714285698</v>
      </c>
      <c r="W49" s="2">
        <v>0.85714285714285698</v>
      </c>
      <c r="X49" s="2">
        <v>0.54545454545454497</v>
      </c>
      <c r="Y49" s="2">
        <v>0.66666666666666696</v>
      </c>
      <c r="Z49" s="2">
        <v>0.54545454545454497</v>
      </c>
    </row>
    <row r="50" spans="1:26" x14ac:dyDescent="0.35">
      <c r="A50" s="2" t="s">
        <v>1021</v>
      </c>
      <c r="B50" s="2">
        <v>0.85714285714285698</v>
      </c>
      <c r="C50" s="2">
        <v>0.66666666666666696</v>
      </c>
      <c r="D50" s="2">
        <v>0.85714285714285698</v>
      </c>
      <c r="E50" s="2">
        <v>0.85714285714285698</v>
      </c>
      <c r="F50" s="2">
        <v>0.75</v>
      </c>
      <c r="G50" s="2">
        <v>0.42857142857142899</v>
      </c>
      <c r="H50" s="2">
        <v>0.36363636363636398</v>
      </c>
      <c r="I50" s="2">
        <v>0.4</v>
      </c>
      <c r="J50" s="2">
        <v>0.66666666666666696</v>
      </c>
      <c r="K50" s="2">
        <v>0.54545454545454497</v>
      </c>
      <c r="L50" s="2">
        <v>0.54545454545454497</v>
      </c>
      <c r="M50" s="2">
        <v>0.5</v>
      </c>
      <c r="N50" s="2">
        <v>0.5</v>
      </c>
      <c r="O50" s="2">
        <v>0.54545454545454497</v>
      </c>
      <c r="P50" s="2">
        <v>0.6</v>
      </c>
      <c r="Q50" s="2">
        <v>0.75</v>
      </c>
      <c r="R50" s="2">
        <v>0.33333333333333298</v>
      </c>
      <c r="S50" s="2">
        <v>0.66666666666666696</v>
      </c>
      <c r="T50" s="2">
        <v>0.22222222222222199</v>
      </c>
      <c r="U50" s="2">
        <v>0</v>
      </c>
      <c r="V50" s="2">
        <v>0.6</v>
      </c>
      <c r="W50" s="2">
        <v>0.6</v>
      </c>
      <c r="X50" s="2">
        <v>0.85714285714285698</v>
      </c>
      <c r="Y50" s="2">
        <v>0.66666666666666696</v>
      </c>
      <c r="Z50" s="2">
        <v>0.85714285714285698</v>
      </c>
    </row>
    <row r="51" spans="1:26" x14ac:dyDescent="0.35">
      <c r="A51" s="2" t="s">
        <v>1022</v>
      </c>
      <c r="B51" s="2">
        <v>0.44444444444444398</v>
      </c>
      <c r="C51" s="2">
        <v>0.44444444444444398</v>
      </c>
      <c r="D51" s="2">
        <v>0.6</v>
      </c>
      <c r="E51" s="2">
        <v>0.6</v>
      </c>
      <c r="F51" s="2">
        <v>0.6</v>
      </c>
      <c r="G51" s="2">
        <v>0.625</v>
      </c>
      <c r="H51" s="2">
        <v>0.61538461538461497</v>
      </c>
      <c r="I51" s="2">
        <v>0.66666666666666696</v>
      </c>
      <c r="J51" s="2">
        <v>0.72727272727272696</v>
      </c>
      <c r="K51" s="2">
        <v>0.76923076923076905</v>
      </c>
      <c r="L51" s="2">
        <v>0.76923076923076905</v>
      </c>
      <c r="M51" s="2">
        <v>0.71428571428571397</v>
      </c>
      <c r="N51" s="2">
        <v>0.83333333333333304</v>
      </c>
      <c r="O51" s="2">
        <v>0.85714285714285698</v>
      </c>
      <c r="P51" s="2">
        <v>0.83333333333333304</v>
      </c>
      <c r="Q51" s="2">
        <v>0.6</v>
      </c>
      <c r="R51" s="2">
        <v>0.6</v>
      </c>
      <c r="S51" s="2">
        <v>0.83333333333333304</v>
      </c>
      <c r="T51" s="2">
        <v>0.85714285714285698</v>
      </c>
      <c r="U51" s="2">
        <v>0.6</v>
      </c>
      <c r="V51" s="2">
        <v>0</v>
      </c>
      <c r="W51" s="2">
        <v>0.72727272727272696</v>
      </c>
      <c r="X51" s="2">
        <v>0</v>
      </c>
      <c r="Y51" s="2">
        <v>0.6</v>
      </c>
      <c r="Z51" s="2">
        <v>0.25</v>
      </c>
    </row>
    <row r="52" spans="1:26" x14ac:dyDescent="0.35">
      <c r="A52" s="2" t="s">
        <v>1023</v>
      </c>
      <c r="B52" s="2">
        <v>0.44444444444444398</v>
      </c>
      <c r="C52" s="2">
        <v>0.44444444444444398</v>
      </c>
      <c r="D52" s="2">
        <v>0.6</v>
      </c>
      <c r="E52" s="2">
        <v>0.6</v>
      </c>
      <c r="F52" s="2">
        <v>0.6</v>
      </c>
      <c r="G52" s="2">
        <v>0.625</v>
      </c>
      <c r="H52" s="2">
        <v>0.71428571428571397</v>
      </c>
      <c r="I52" s="2">
        <v>0.76923076923076905</v>
      </c>
      <c r="J52" s="2">
        <v>0.72727272727272696</v>
      </c>
      <c r="K52" s="2">
        <v>0.76923076923076905</v>
      </c>
      <c r="L52" s="2">
        <v>0.54545454545454497</v>
      </c>
      <c r="M52" s="2">
        <v>0.5</v>
      </c>
      <c r="N52" s="2">
        <v>0.83333333333333304</v>
      </c>
      <c r="O52" s="2">
        <v>0.93333333333333302</v>
      </c>
      <c r="P52" s="2">
        <v>0.83333333333333304</v>
      </c>
      <c r="Q52" s="2">
        <v>0.44444444444444398</v>
      </c>
      <c r="R52" s="2">
        <v>0.6</v>
      </c>
      <c r="S52" s="2">
        <v>0.72727272727272696</v>
      </c>
      <c r="T52" s="2">
        <v>0.85714285714285698</v>
      </c>
      <c r="U52" s="2">
        <v>0.6</v>
      </c>
      <c r="V52" s="2">
        <v>0.72727272727272696</v>
      </c>
      <c r="W52" s="2">
        <v>0</v>
      </c>
      <c r="X52" s="2">
        <v>0.25</v>
      </c>
      <c r="Y52" s="2">
        <v>0.6</v>
      </c>
      <c r="Z52" s="2">
        <v>0.25</v>
      </c>
    </row>
    <row r="53" spans="1:26" x14ac:dyDescent="0.35">
      <c r="A53" s="2" t="s">
        <v>1024</v>
      </c>
      <c r="B53" s="2">
        <v>0.66666666666666696</v>
      </c>
      <c r="C53" s="2">
        <v>0.66666666666666696</v>
      </c>
      <c r="D53" s="2">
        <v>0.85714285714285698</v>
      </c>
      <c r="E53" s="2">
        <v>0.85714285714285698</v>
      </c>
      <c r="F53" s="2">
        <v>0.57142857142857095</v>
      </c>
      <c r="G53" s="2">
        <v>0.30769230769230799</v>
      </c>
      <c r="H53" s="2">
        <v>0.36363636363636398</v>
      </c>
      <c r="I53" s="2">
        <v>0.4</v>
      </c>
      <c r="J53" s="2">
        <v>0.5</v>
      </c>
      <c r="K53" s="2">
        <v>0.4</v>
      </c>
      <c r="L53" s="2">
        <v>0.4</v>
      </c>
      <c r="M53" s="2">
        <v>0.36363636363636398</v>
      </c>
      <c r="N53" s="2">
        <v>0.66666666666666696</v>
      </c>
      <c r="O53" s="2">
        <v>0.66666666666666696</v>
      </c>
      <c r="P53" s="2">
        <v>0.44444444444444398</v>
      </c>
      <c r="Q53" s="2">
        <v>0.57142857142857095</v>
      </c>
      <c r="R53" s="2">
        <v>0.57142857142857095</v>
      </c>
      <c r="S53" s="2">
        <v>0.66666666666666696</v>
      </c>
      <c r="T53" s="2">
        <v>0.54545454545454497</v>
      </c>
      <c r="U53" s="2">
        <v>0.85714285714285698</v>
      </c>
      <c r="V53" s="2">
        <v>0</v>
      </c>
      <c r="W53" s="2">
        <v>0.25</v>
      </c>
      <c r="X53" s="2">
        <v>0</v>
      </c>
      <c r="Y53" s="2">
        <v>0.5</v>
      </c>
      <c r="Z53" s="2">
        <v>0.66666666666666696</v>
      </c>
    </row>
    <row r="54" spans="1:26" x14ac:dyDescent="0.35">
      <c r="A54" s="2" t="s">
        <v>1025</v>
      </c>
      <c r="B54" s="2">
        <v>0.5</v>
      </c>
      <c r="C54" s="2">
        <v>0.5</v>
      </c>
      <c r="D54" s="2">
        <v>0.66666666666666696</v>
      </c>
      <c r="E54" s="2">
        <v>0.66666666666666696</v>
      </c>
      <c r="F54" s="2">
        <v>0.66666666666666696</v>
      </c>
      <c r="G54" s="2">
        <v>0.53333333333333299</v>
      </c>
      <c r="H54" s="2">
        <v>0.5</v>
      </c>
      <c r="I54" s="2">
        <v>0.54545454545454497</v>
      </c>
      <c r="J54" s="2">
        <v>0.8</v>
      </c>
      <c r="K54" s="2">
        <v>0.66666666666666696</v>
      </c>
      <c r="L54" s="2">
        <v>0.54545454545454497</v>
      </c>
      <c r="M54" s="2">
        <v>0.5</v>
      </c>
      <c r="N54" s="2">
        <v>0.90909090909090895</v>
      </c>
      <c r="O54" s="2">
        <v>0.66666666666666696</v>
      </c>
      <c r="P54" s="2">
        <v>0.72727272727272696</v>
      </c>
      <c r="Q54" s="2">
        <v>0.5</v>
      </c>
      <c r="R54" s="2">
        <v>0.66666666666666696</v>
      </c>
      <c r="S54" s="2">
        <v>0.66666666666666696</v>
      </c>
      <c r="T54" s="2">
        <v>0.66666666666666696</v>
      </c>
      <c r="U54" s="2">
        <v>0.66666666666666696</v>
      </c>
      <c r="V54" s="2">
        <v>0.6</v>
      </c>
      <c r="W54" s="2">
        <v>0.6</v>
      </c>
      <c r="X54" s="2">
        <v>0.5</v>
      </c>
      <c r="Y54" s="2">
        <v>0</v>
      </c>
      <c r="Z54" s="2">
        <v>0.28571428571428598</v>
      </c>
    </row>
    <row r="55" spans="1:26" x14ac:dyDescent="0.35">
      <c r="A55" s="2" t="s">
        <v>1026</v>
      </c>
      <c r="B55" s="2">
        <v>0.85714285714285698</v>
      </c>
      <c r="C55" s="2">
        <v>0.85714285714285698</v>
      </c>
      <c r="D55" s="2">
        <v>1</v>
      </c>
      <c r="E55" s="2">
        <v>1</v>
      </c>
      <c r="F55" s="2">
        <v>0.75</v>
      </c>
      <c r="G55" s="2">
        <v>0.42857142857142899</v>
      </c>
      <c r="H55" s="2">
        <v>0.36363636363636398</v>
      </c>
      <c r="I55" s="2">
        <v>0.4</v>
      </c>
      <c r="J55" s="2">
        <v>0.66666666666666696</v>
      </c>
      <c r="K55" s="2">
        <v>0.54545454545454497</v>
      </c>
      <c r="L55" s="2">
        <v>0.4</v>
      </c>
      <c r="M55" s="2">
        <v>0.36363636363636398</v>
      </c>
      <c r="N55" s="2">
        <v>0.66666666666666696</v>
      </c>
      <c r="O55" s="2">
        <v>0.54545454545454497</v>
      </c>
      <c r="P55" s="2">
        <v>0.6</v>
      </c>
      <c r="Q55" s="2">
        <v>0.75</v>
      </c>
      <c r="R55" s="2">
        <v>0.75</v>
      </c>
      <c r="S55" s="2">
        <v>0.66666666666666696</v>
      </c>
      <c r="T55" s="2">
        <v>0.54545454545454497</v>
      </c>
      <c r="U55" s="2">
        <v>0.85714285714285698</v>
      </c>
      <c r="V55" s="2">
        <v>0.25</v>
      </c>
      <c r="W55" s="2">
        <v>0.25</v>
      </c>
      <c r="X55" s="2">
        <v>0.66666666666666696</v>
      </c>
      <c r="Y55" s="2">
        <v>0.28571428571428598</v>
      </c>
      <c r="Z55" s="2">
        <v>0</v>
      </c>
    </row>
    <row r="57" spans="1:26" s="53" customFormat="1" ht="16.75" x14ac:dyDescent="0.35">
      <c r="A57" s="53" t="s">
        <v>1042</v>
      </c>
    </row>
    <row r="58" spans="1:26" x14ac:dyDescent="0.35">
      <c r="B58" s="2" t="s">
        <v>1002</v>
      </c>
      <c r="C58" s="2" t="s">
        <v>1003</v>
      </c>
      <c r="D58" s="2" t="s">
        <v>1004</v>
      </c>
      <c r="E58" s="2" t="s">
        <v>1005</v>
      </c>
      <c r="F58" s="2" t="s">
        <v>1006</v>
      </c>
      <c r="G58" s="2" t="s">
        <v>1007</v>
      </c>
      <c r="H58" s="2" t="s">
        <v>1008</v>
      </c>
      <c r="I58" s="2" t="s">
        <v>1009</v>
      </c>
      <c r="J58" s="2" t="s">
        <v>1010</v>
      </c>
      <c r="K58" s="2" t="s">
        <v>1011</v>
      </c>
      <c r="L58" s="2" t="s">
        <v>1012</v>
      </c>
      <c r="M58" s="2" t="s">
        <v>1013</v>
      </c>
      <c r="N58" s="2" t="s">
        <v>1014</v>
      </c>
      <c r="O58" s="2" t="s">
        <v>1015</v>
      </c>
      <c r="P58" s="2" t="s">
        <v>1016</v>
      </c>
      <c r="Q58" s="2" t="s">
        <v>1017</v>
      </c>
      <c r="R58" s="2" t="s">
        <v>1018</v>
      </c>
      <c r="S58" s="2" t="s">
        <v>1019</v>
      </c>
      <c r="T58" s="2" t="s">
        <v>1020</v>
      </c>
      <c r="U58" s="2" t="s">
        <v>1021</v>
      </c>
      <c r="V58" s="2" t="s">
        <v>1022</v>
      </c>
      <c r="W58" s="2" t="s">
        <v>1023</v>
      </c>
      <c r="X58" s="2" t="s">
        <v>1024</v>
      </c>
      <c r="Y58" s="2" t="s">
        <v>1025</v>
      </c>
      <c r="Z58" s="2" t="s">
        <v>1026</v>
      </c>
    </row>
    <row r="59" spans="1:26" x14ac:dyDescent="0.35">
      <c r="A59" s="2" t="s">
        <v>1002</v>
      </c>
      <c r="B59" s="2">
        <v>0</v>
      </c>
      <c r="C59" s="2">
        <v>0.2</v>
      </c>
      <c r="D59" s="2">
        <v>0</v>
      </c>
      <c r="E59" s="2">
        <v>0</v>
      </c>
      <c r="F59" s="2">
        <v>0.16666666666666699</v>
      </c>
      <c r="G59" s="2">
        <v>0.58333333333333304</v>
      </c>
      <c r="H59" s="2">
        <v>0.5</v>
      </c>
      <c r="I59" s="2">
        <v>0.4</v>
      </c>
      <c r="J59" s="2">
        <v>0.28571428571428598</v>
      </c>
      <c r="K59" s="2">
        <v>0.4</v>
      </c>
      <c r="L59" s="2">
        <v>0.44444444444444398</v>
      </c>
      <c r="M59" s="2">
        <v>0.45454545454545497</v>
      </c>
      <c r="N59" s="2">
        <v>0.22222222222222199</v>
      </c>
      <c r="O59" s="2">
        <v>0.36363636363636398</v>
      </c>
      <c r="P59" s="2">
        <v>0.33333333333333298</v>
      </c>
      <c r="Q59" s="2">
        <v>0.16666666666666699</v>
      </c>
      <c r="R59" s="2">
        <v>0.14285714285714299</v>
      </c>
      <c r="S59" s="2">
        <v>0.22222222222222199</v>
      </c>
      <c r="T59" s="2">
        <v>0.36363636363636398</v>
      </c>
      <c r="U59" s="2">
        <v>0</v>
      </c>
      <c r="V59" s="2">
        <v>0.33333333333333298</v>
      </c>
      <c r="W59" s="2">
        <v>0.33333333333333298</v>
      </c>
      <c r="X59" s="2">
        <v>0</v>
      </c>
      <c r="Y59" s="2">
        <v>0.25</v>
      </c>
      <c r="Z59" s="2">
        <v>0</v>
      </c>
    </row>
    <row r="60" spans="1:26" x14ac:dyDescent="0.35">
      <c r="A60" s="2" t="s">
        <v>1003</v>
      </c>
      <c r="B60" s="2">
        <v>0.2</v>
      </c>
      <c r="C60" s="2">
        <v>0</v>
      </c>
      <c r="D60" s="2">
        <v>0.25</v>
      </c>
      <c r="E60" s="2">
        <v>0.25</v>
      </c>
      <c r="F60" s="2">
        <v>0.33333333333333298</v>
      </c>
      <c r="G60" s="2">
        <v>0.66666666666666696</v>
      </c>
      <c r="H60" s="2">
        <v>0.6</v>
      </c>
      <c r="I60" s="2">
        <v>0.55555555555555602</v>
      </c>
      <c r="J60" s="2">
        <v>0.42857142857142899</v>
      </c>
      <c r="K60" s="2">
        <v>0.5</v>
      </c>
      <c r="L60" s="2">
        <v>0.55555555555555602</v>
      </c>
      <c r="M60" s="2">
        <v>0.54545454545454497</v>
      </c>
      <c r="N60" s="2">
        <v>0.375</v>
      </c>
      <c r="O60" s="2">
        <v>0.55555555555555602</v>
      </c>
      <c r="P60" s="2">
        <v>0.44444444444444398</v>
      </c>
      <c r="Q60" s="2">
        <v>0.33333333333333298</v>
      </c>
      <c r="R60" s="2">
        <v>0.28571428571428598</v>
      </c>
      <c r="S60" s="2">
        <v>0.33333333333333298</v>
      </c>
      <c r="T60" s="2">
        <v>0.45454545454545497</v>
      </c>
      <c r="U60" s="2">
        <v>0.16666666666666699</v>
      </c>
      <c r="V60" s="2">
        <v>0.44444444444444398</v>
      </c>
      <c r="W60" s="2">
        <v>0.44444444444444398</v>
      </c>
      <c r="X60" s="2">
        <v>0.16666666666666699</v>
      </c>
      <c r="Y60" s="2">
        <v>0.375</v>
      </c>
      <c r="Z60" s="2">
        <v>0.14285714285714299</v>
      </c>
    </row>
    <row r="61" spans="1:26" x14ac:dyDescent="0.35">
      <c r="A61" s="2" t="s">
        <v>1004</v>
      </c>
      <c r="B61" s="2">
        <v>0</v>
      </c>
      <c r="C61" s="2">
        <v>0.25</v>
      </c>
      <c r="D61" s="2">
        <v>0</v>
      </c>
      <c r="E61" s="2">
        <v>0</v>
      </c>
      <c r="F61" s="2">
        <v>0.14285714285714299</v>
      </c>
      <c r="G61" s="2">
        <v>0.53846153846153799</v>
      </c>
      <c r="H61" s="2">
        <v>0.5</v>
      </c>
      <c r="I61" s="2">
        <v>0.4</v>
      </c>
      <c r="J61" s="2">
        <v>0.25</v>
      </c>
      <c r="K61" s="2">
        <v>0.36363636363636398</v>
      </c>
      <c r="L61" s="2">
        <v>0.4</v>
      </c>
      <c r="M61" s="2">
        <v>0.41666666666666702</v>
      </c>
      <c r="N61" s="2">
        <v>0.22222222222222199</v>
      </c>
      <c r="O61" s="2">
        <v>0.4</v>
      </c>
      <c r="P61" s="2">
        <v>0.3</v>
      </c>
      <c r="Q61" s="2">
        <v>0.14285714285714299</v>
      </c>
      <c r="R61" s="2">
        <v>0.125</v>
      </c>
      <c r="S61" s="2">
        <v>0.2</v>
      </c>
      <c r="T61" s="2">
        <v>0.33333333333333298</v>
      </c>
      <c r="U61" s="2">
        <v>0</v>
      </c>
      <c r="V61" s="2">
        <v>0.3</v>
      </c>
      <c r="W61" s="2">
        <v>0.3</v>
      </c>
      <c r="X61" s="2">
        <v>0</v>
      </c>
      <c r="Y61" s="2">
        <v>0.22222222222222199</v>
      </c>
      <c r="Z61" s="2">
        <v>0</v>
      </c>
    </row>
    <row r="62" spans="1:26" x14ac:dyDescent="0.35">
      <c r="A62" s="2" t="s">
        <v>1005</v>
      </c>
      <c r="B62" s="2">
        <v>0</v>
      </c>
      <c r="C62" s="2">
        <v>0.25</v>
      </c>
      <c r="D62" s="2">
        <v>0</v>
      </c>
      <c r="E62" s="2">
        <v>0</v>
      </c>
      <c r="F62" s="2">
        <v>0.14285714285714299</v>
      </c>
      <c r="G62" s="2">
        <v>0.58333333333333304</v>
      </c>
      <c r="H62" s="2">
        <v>0.45454545454545497</v>
      </c>
      <c r="I62" s="2">
        <v>0.4</v>
      </c>
      <c r="J62" s="2">
        <v>0.25</v>
      </c>
      <c r="K62" s="2">
        <v>0.36363636363636398</v>
      </c>
      <c r="L62" s="2">
        <v>0.4</v>
      </c>
      <c r="M62" s="2">
        <v>0.41666666666666702</v>
      </c>
      <c r="N62" s="2">
        <v>0.22222222222222199</v>
      </c>
      <c r="O62" s="2">
        <v>0.4</v>
      </c>
      <c r="P62" s="2">
        <v>0.3</v>
      </c>
      <c r="Q62" s="2">
        <v>0.14285714285714299</v>
      </c>
      <c r="R62" s="2">
        <v>0.125</v>
      </c>
      <c r="S62" s="2">
        <v>0.2</v>
      </c>
      <c r="T62" s="2">
        <v>0.33333333333333298</v>
      </c>
      <c r="U62" s="2">
        <v>0</v>
      </c>
      <c r="V62" s="2">
        <v>0.3</v>
      </c>
      <c r="W62" s="2">
        <v>0.3</v>
      </c>
      <c r="X62" s="2">
        <v>0</v>
      </c>
      <c r="Y62" s="2">
        <v>0.22222222222222199</v>
      </c>
      <c r="Z62" s="2">
        <v>0</v>
      </c>
    </row>
    <row r="63" spans="1:26" x14ac:dyDescent="0.35">
      <c r="A63" s="2" t="s">
        <v>1006</v>
      </c>
      <c r="B63" s="2">
        <v>0.16666666666666699</v>
      </c>
      <c r="C63" s="2">
        <v>0.33333333333333298</v>
      </c>
      <c r="D63" s="2">
        <v>0.14285714285714299</v>
      </c>
      <c r="E63" s="2">
        <v>0.14285714285714299</v>
      </c>
      <c r="F63" s="2">
        <v>0</v>
      </c>
      <c r="G63" s="2">
        <v>0.5</v>
      </c>
      <c r="H63" s="2">
        <v>0.33333333333333298</v>
      </c>
      <c r="I63" s="2">
        <v>0.3</v>
      </c>
      <c r="J63" s="2">
        <v>0.14285714285714299</v>
      </c>
      <c r="K63" s="2">
        <v>0.3</v>
      </c>
      <c r="L63" s="2">
        <v>0.33333333333333298</v>
      </c>
      <c r="M63" s="2">
        <v>0.36363636363636398</v>
      </c>
      <c r="N63" s="2">
        <v>0.11111111111111099</v>
      </c>
      <c r="O63" s="2">
        <v>0.25</v>
      </c>
      <c r="P63" s="2">
        <v>0.2</v>
      </c>
      <c r="Q63" s="2">
        <v>0</v>
      </c>
      <c r="R63" s="2">
        <v>0</v>
      </c>
      <c r="S63" s="2">
        <v>0.1</v>
      </c>
      <c r="T63" s="2">
        <v>0.27272727272727298</v>
      </c>
      <c r="U63" s="2">
        <v>0.125</v>
      </c>
      <c r="V63" s="2">
        <v>0.2</v>
      </c>
      <c r="W63" s="2">
        <v>0.2</v>
      </c>
      <c r="X63" s="2">
        <v>0.14285714285714299</v>
      </c>
      <c r="Y63" s="2">
        <v>0.11111111111111099</v>
      </c>
      <c r="Z63" s="2">
        <v>0.125</v>
      </c>
    </row>
    <row r="64" spans="1:26" x14ac:dyDescent="0.35">
      <c r="A64" s="2" t="s">
        <v>1007</v>
      </c>
      <c r="B64" s="2">
        <v>0.58333333333333304</v>
      </c>
      <c r="C64" s="2">
        <v>0.66666666666666696</v>
      </c>
      <c r="D64" s="2">
        <v>0.53846153846153799</v>
      </c>
      <c r="E64" s="2">
        <v>0.58333333333333304</v>
      </c>
      <c r="F64" s="2">
        <v>0.5</v>
      </c>
      <c r="G64" s="2">
        <v>0</v>
      </c>
      <c r="H64" s="2">
        <v>0.125</v>
      </c>
      <c r="I64" s="2">
        <v>0.2</v>
      </c>
      <c r="J64" s="2">
        <v>0.41666666666666702</v>
      </c>
      <c r="K64" s="2">
        <v>0.2</v>
      </c>
      <c r="L64" s="2">
        <v>0.2</v>
      </c>
      <c r="M64" s="2">
        <v>0.11764705882352899</v>
      </c>
      <c r="N64" s="2">
        <v>0.3125</v>
      </c>
      <c r="O64" s="2">
        <v>0.16666666666666699</v>
      </c>
      <c r="P64" s="2">
        <v>0.25</v>
      </c>
      <c r="Q64" s="2">
        <v>0.46153846153846201</v>
      </c>
      <c r="R64" s="2">
        <v>0.46153846153846201</v>
      </c>
      <c r="S64" s="2">
        <v>0.3125</v>
      </c>
      <c r="T64" s="2">
        <v>0.17647058823529399</v>
      </c>
      <c r="U64" s="2">
        <v>0.5</v>
      </c>
      <c r="V64" s="2">
        <v>0.25</v>
      </c>
      <c r="W64" s="2">
        <v>0.25</v>
      </c>
      <c r="X64" s="2">
        <v>0.53846153846153799</v>
      </c>
      <c r="Y64" s="2">
        <v>0.33333333333333298</v>
      </c>
      <c r="Z64" s="2">
        <v>0.5</v>
      </c>
    </row>
    <row r="65" spans="1:26" x14ac:dyDescent="0.35">
      <c r="A65" s="2" t="s">
        <v>1008</v>
      </c>
      <c r="B65" s="2">
        <v>0.5</v>
      </c>
      <c r="C65" s="2">
        <v>0.6</v>
      </c>
      <c r="D65" s="2">
        <v>0.5</v>
      </c>
      <c r="E65" s="2">
        <v>0.45454545454545497</v>
      </c>
      <c r="F65" s="2">
        <v>0.33333333333333298</v>
      </c>
      <c r="G65" s="2">
        <v>0.125</v>
      </c>
      <c r="H65" s="2">
        <v>0</v>
      </c>
      <c r="I65" s="2">
        <v>9.0909090909090898E-2</v>
      </c>
      <c r="J65" s="2">
        <v>0.27272727272727298</v>
      </c>
      <c r="K65" s="2">
        <v>7.1428571428571397E-2</v>
      </c>
      <c r="L65" s="2">
        <v>6.6666666666666693E-2</v>
      </c>
      <c r="M65" s="2">
        <v>0</v>
      </c>
      <c r="N65" s="2">
        <v>0.230769230769231</v>
      </c>
      <c r="O65" s="2">
        <v>6.6666666666666693E-2</v>
      </c>
      <c r="P65" s="2">
        <v>0.14285714285714299</v>
      </c>
      <c r="Q65" s="2">
        <v>0.33333333333333298</v>
      </c>
      <c r="R65" s="2">
        <v>0.33333333333333298</v>
      </c>
      <c r="S65" s="2">
        <v>0.214285714285714</v>
      </c>
      <c r="T65" s="2">
        <v>6.25E-2</v>
      </c>
      <c r="U65" s="2">
        <v>0.45454545454545497</v>
      </c>
      <c r="V65" s="2">
        <v>0.15384615384615399</v>
      </c>
      <c r="W65" s="2">
        <v>0.14285714285714299</v>
      </c>
      <c r="X65" s="2">
        <v>0.45454545454545497</v>
      </c>
      <c r="Y65" s="2">
        <v>0.25</v>
      </c>
      <c r="Z65" s="2">
        <v>0.45454545454545497</v>
      </c>
    </row>
    <row r="66" spans="1:26" x14ac:dyDescent="0.35">
      <c r="A66" s="2" t="s">
        <v>1009</v>
      </c>
      <c r="B66" s="2">
        <v>0.4</v>
      </c>
      <c r="C66" s="2">
        <v>0.55555555555555602</v>
      </c>
      <c r="D66" s="2">
        <v>0.4</v>
      </c>
      <c r="E66" s="2">
        <v>0.4</v>
      </c>
      <c r="F66" s="2">
        <v>0.3</v>
      </c>
      <c r="G66" s="2">
        <v>0.2</v>
      </c>
      <c r="H66" s="2">
        <v>9.0909090909090898E-2</v>
      </c>
      <c r="I66" s="2">
        <v>0</v>
      </c>
      <c r="J66" s="2">
        <v>0.18181818181818199</v>
      </c>
      <c r="K66" s="2">
        <v>0</v>
      </c>
      <c r="L66" s="2">
        <v>0</v>
      </c>
      <c r="M66" s="2">
        <v>7.1428571428571397E-2</v>
      </c>
      <c r="N66" s="2">
        <v>0.18181818181818199</v>
      </c>
      <c r="O66" s="2">
        <v>0</v>
      </c>
      <c r="P66" s="2">
        <v>7.69230769230769E-2</v>
      </c>
      <c r="Q66" s="2">
        <v>0.27272727272727298</v>
      </c>
      <c r="R66" s="2">
        <v>0.27272727272727298</v>
      </c>
      <c r="S66" s="2">
        <v>0.15384615384615399</v>
      </c>
      <c r="T66" s="2">
        <v>0</v>
      </c>
      <c r="U66" s="2">
        <v>0.4</v>
      </c>
      <c r="V66" s="2">
        <v>8.3333333333333301E-2</v>
      </c>
      <c r="W66" s="2">
        <v>7.69230769230769E-2</v>
      </c>
      <c r="X66" s="2">
        <v>0.4</v>
      </c>
      <c r="Y66" s="2">
        <v>0.18181818181818199</v>
      </c>
      <c r="Z66" s="2">
        <v>0.4</v>
      </c>
    </row>
    <row r="67" spans="1:26" x14ac:dyDescent="0.35">
      <c r="A67" s="2" t="s">
        <v>1010</v>
      </c>
      <c r="B67" s="2">
        <v>0.28571428571428598</v>
      </c>
      <c r="C67" s="2">
        <v>0.42857142857142899</v>
      </c>
      <c r="D67" s="2">
        <v>0.25</v>
      </c>
      <c r="E67" s="2">
        <v>0.25</v>
      </c>
      <c r="F67" s="2">
        <v>0.14285714285714299</v>
      </c>
      <c r="G67" s="2">
        <v>0.41666666666666702</v>
      </c>
      <c r="H67" s="2">
        <v>0.27272727272727298</v>
      </c>
      <c r="I67" s="2">
        <v>0.18181818181818199</v>
      </c>
      <c r="J67" s="2">
        <v>0</v>
      </c>
      <c r="K67" s="2">
        <v>0.18181818181818199</v>
      </c>
      <c r="L67" s="2">
        <v>0.2</v>
      </c>
      <c r="M67" s="2">
        <v>0.27272727272727298</v>
      </c>
      <c r="N67" s="2">
        <v>0</v>
      </c>
      <c r="O67" s="2">
        <v>0.15384615384615399</v>
      </c>
      <c r="P67" s="2">
        <v>9.0909090909090898E-2</v>
      </c>
      <c r="Q67" s="2">
        <v>0.125</v>
      </c>
      <c r="R67" s="2">
        <v>0.11111111111111099</v>
      </c>
      <c r="S67" s="2">
        <v>0</v>
      </c>
      <c r="T67" s="2">
        <v>0.16666666666666699</v>
      </c>
      <c r="U67" s="2">
        <v>0.22222222222222199</v>
      </c>
      <c r="V67" s="2">
        <v>9.0909090909090898E-2</v>
      </c>
      <c r="W67" s="2">
        <v>9.0909090909090898E-2</v>
      </c>
      <c r="X67" s="2">
        <v>0.25</v>
      </c>
      <c r="Y67" s="2">
        <v>0</v>
      </c>
      <c r="Z67" s="2">
        <v>0.22222222222222199</v>
      </c>
    </row>
    <row r="68" spans="1:26" x14ac:dyDescent="0.35">
      <c r="A68" s="2" t="s">
        <v>1011</v>
      </c>
      <c r="B68" s="2">
        <v>0.4</v>
      </c>
      <c r="C68" s="2">
        <v>0.5</v>
      </c>
      <c r="D68" s="2">
        <v>0.36363636363636398</v>
      </c>
      <c r="E68" s="2">
        <v>0.36363636363636398</v>
      </c>
      <c r="F68" s="2">
        <v>0.3</v>
      </c>
      <c r="G68" s="2">
        <v>0.2</v>
      </c>
      <c r="H68" s="2">
        <v>7.1428571428571397E-2</v>
      </c>
      <c r="I68" s="2">
        <v>0</v>
      </c>
      <c r="J68" s="2">
        <v>0.18181818181818199</v>
      </c>
      <c r="K68" s="2">
        <v>0</v>
      </c>
      <c r="L68" s="2">
        <v>0</v>
      </c>
      <c r="M68" s="2">
        <v>7.1428571428571397E-2</v>
      </c>
      <c r="N68" s="2">
        <v>0.16666666666666699</v>
      </c>
      <c r="O68" s="2">
        <v>0</v>
      </c>
      <c r="P68" s="2">
        <v>7.69230769230769E-2</v>
      </c>
      <c r="Q68" s="2">
        <v>0.27272727272727298</v>
      </c>
      <c r="R68" s="2">
        <v>0.27272727272727298</v>
      </c>
      <c r="S68" s="2">
        <v>0.15384615384615399</v>
      </c>
      <c r="T68" s="2">
        <v>0</v>
      </c>
      <c r="U68" s="2">
        <v>0.36363636363636398</v>
      </c>
      <c r="V68" s="2">
        <v>7.69230769230769E-2</v>
      </c>
      <c r="W68" s="2">
        <v>7.69230769230769E-2</v>
      </c>
      <c r="X68" s="2">
        <v>0.4</v>
      </c>
      <c r="Y68" s="2">
        <v>0.16666666666666699</v>
      </c>
      <c r="Z68" s="2">
        <v>0.36363636363636398</v>
      </c>
    </row>
    <row r="69" spans="1:26" x14ac:dyDescent="0.35">
      <c r="A69" s="2" t="s">
        <v>1012</v>
      </c>
      <c r="B69" s="2">
        <v>0.44444444444444398</v>
      </c>
      <c r="C69" s="2">
        <v>0.55555555555555602</v>
      </c>
      <c r="D69" s="2">
        <v>0.4</v>
      </c>
      <c r="E69" s="2">
        <v>0.4</v>
      </c>
      <c r="F69" s="2">
        <v>0.33333333333333298</v>
      </c>
      <c r="G69" s="2">
        <v>0.2</v>
      </c>
      <c r="H69" s="2">
        <v>6.6666666666666693E-2</v>
      </c>
      <c r="I69" s="2">
        <v>0</v>
      </c>
      <c r="J69" s="2">
        <v>0.2</v>
      </c>
      <c r="K69" s="2">
        <v>0</v>
      </c>
      <c r="L69" s="2">
        <v>0</v>
      </c>
      <c r="M69" s="2">
        <v>0.1</v>
      </c>
      <c r="N69" s="2">
        <v>0.16666666666666699</v>
      </c>
      <c r="O69" s="2">
        <v>0</v>
      </c>
      <c r="P69" s="2">
        <v>8.3333333333333301E-2</v>
      </c>
      <c r="Q69" s="2">
        <v>0.33333333333333298</v>
      </c>
      <c r="R69" s="2">
        <v>0.27272727272727298</v>
      </c>
      <c r="S69" s="2">
        <v>0.16666666666666699</v>
      </c>
      <c r="T69" s="2">
        <v>0</v>
      </c>
      <c r="U69" s="2">
        <v>0.36363636363636398</v>
      </c>
      <c r="V69" s="2">
        <v>7.69230769230769E-2</v>
      </c>
      <c r="W69" s="2">
        <v>9.0909090909090898E-2</v>
      </c>
      <c r="X69" s="2">
        <v>0.4</v>
      </c>
      <c r="Y69" s="2">
        <v>0.18181818181818199</v>
      </c>
      <c r="Z69" s="2">
        <v>0.4</v>
      </c>
    </row>
    <row r="70" spans="1:26" x14ac:dyDescent="0.35">
      <c r="A70" s="2" t="s">
        <v>1013</v>
      </c>
      <c r="B70" s="2">
        <v>0.45454545454545497</v>
      </c>
      <c r="C70" s="2">
        <v>0.54545454545454497</v>
      </c>
      <c r="D70" s="2">
        <v>0.41666666666666702</v>
      </c>
      <c r="E70" s="2">
        <v>0.41666666666666702</v>
      </c>
      <c r="F70" s="2">
        <v>0.36363636363636398</v>
      </c>
      <c r="G70" s="2">
        <v>0.11764705882352899</v>
      </c>
      <c r="H70" s="2">
        <v>0</v>
      </c>
      <c r="I70" s="2">
        <v>7.1428571428571397E-2</v>
      </c>
      <c r="J70" s="2">
        <v>0.27272727272727298</v>
      </c>
      <c r="K70" s="2">
        <v>7.1428571428571397E-2</v>
      </c>
      <c r="L70" s="2">
        <v>0.1</v>
      </c>
      <c r="M70" s="2">
        <v>0</v>
      </c>
      <c r="N70" s="2">
        <v>0.230769230769231</v>
      </c>
      <c r="O70" s="2">
        <v>5.8823529411764698E-2</v>
      </c>
      <c r="P70" s="2">
        <v>0.15384615384615399</v>
      </c>
      <c r="Q70" s="2">
        <v>0.36363636363636398</v>
      </c>
      <c r="R70" s="2">
        <v>0.33333333333333298</v>
      </c>
      <c r="S70" s="2">
        <v>0.230769230769231</v>
      </c>
      <c r="T70" s="2">
        <v>7.1428571428571397E-2</v>
      </c>
      <c r="U70" s="2">
        <v>0.41666666666666702</v>
      </c>
      <c r="V70" s="2">
        <v>0.14285714285714299</v>
      </c>
      <c r="W70" s="2">
        <v>0.16666666666666699</v>
      </c>
      <c r="X70" s="2">
        <v>0.45454545454545497</v>
      </c>
      <c r="Y70" s="2">
        <v>0.25</v>
      </c>
      <c r="Z70" s="2">
        <v>0.45454545454545497</v>
      </c>
    </row>
    <row r="71" spans="1:26" x14ac:dyDescent="0.35">
      <c r="A71" s="2" t="s">
        <v>1014</v>
      </c>
      <c r="B71" s="2">
        <v>0.22222222222222199</v>
      </c>
      <c r="C71" s="2">
        <v>0.375</v>
      </c>
      <c r="D71" s="2">
        <v>0.22222222222222199</v>
      </c>
      <c r="E71" s="2">
        <v>0.22222222222222199</v>
      </c>
      <c r="F71" s="2">
        <v>0.11111111111111099</v>
      </c>
      <c r="G71" s="2">
        <v>0.3125</v>
      </c>
      <c r="H71" s="2">
        <v>0.230769230769231</v>
      </c>
      <c r="I71" s="2">
        <v>0.18181818181818199</v>
      </c>
      <c r="J71" s="2">
        <v>0</v>
      </c>
      <c r="K71" s="2">
        <v>0.16666666666666699</v>
      </c>
      <c r="L71" s="2">
        <v>0.16666666666666699</v>
      </c>
      <c r="M71" s="2">
        <v>0.230769230769231</v>
      </c>
      <c r="N71" s="2">
        <v>0</v>
      </c>
      <c r="O71" s="2">
        <v>0.16666666666666699</v>
      </c>
      <c r="P71" s="2">
        <v>0.1</v>
      </c>
      <c r="Q71" s="2">
        <v>0.1</v>
      </c>
      <c r="R71" s="2">
        <v>0.1</v>
      </c>
      <c r="S71" s="2">
        <v>0</v>
      </c>
      <c r="T71" s="2">
        <v>0.18181818181818199</v>
      </c>
      <c r="U71" s="2">
        <v>0.25</v>
      </c>
      <c r="V71" s="2">
        <v>8.3333333333333301E-2</v>
      </c>
      <c r="W71" s="2">
        <v>8.3333333333333301E-2</v>
      </c>
      <c r="X71" s="2">
        <v>0.22222222222222199</v>
      </c>
      <c r="Y71" s="2">
        <v>0</v>
      </c>
      <c r="Z71" s="2">
        <v>0.22222222222222199</v>
      </c>
    </row>
    <row r="72" spans="1:26" x14ac:dyDescent="0.35">
      <c r="A72" s="2" t="s">
        <v>1015</v>
      </c>
      <c r="B72" s="2">
        <v>0.36363636363636398</v>
      </c>
      <c r="C72" s="2">
        <v>0.55555555555555602</v>
      </c>
      <c r="D72" s="2">
        <v>0.4</v>
      </c>
      <c r="E72" s="2">
        <v>0.4</v>
      </c>
      <c r="F72" s="2">
        <v>0.25</v>
      </c>
      <c r="G72" s="2">
        <v>0.16666666666666699</v>
      </c>
      <c r="H72" s="2">
        <v>6.6666666666666693E-2</v>
      </c>
      <c r="I72" s="2">
        <v>0</v>
      </c>
      <c r="J72" s="2">
        <v>0.15384615384615399</v>
      </c>
      <c r="K72" s="2">
        <v>0</v>
      </c>
      <c r="L72" s="2">
        <v>0</v>
      </c>
      <c r="M72" s="2">
        <v>5.8823529411764698E-2</v>
      </c>
      <c r="N72" s="2">
        <v>0.16666666666666699</v>
      </c>
      <c r="O72" s="2">
        <v>0</v>
      </c>
      <c r="P72" s="2">
        <v>8.3333333333333301E-2</v>
      </c>
      <c r="Q72" s="2">
        <v>0.25</v>
      </c>
      <c r="R72" s="2">
        <v>0.230769230769231</v>
      </c>
      <c r="S72" s="2">
        <v>0.15384615384615399</v>
      </c>
      <c r="T72" s="2">
        <v>0</v>
      </c>
      <c r="U72" s="2">
        <v>0.36363636363636398</v>
      </c>
      <c r="V72" s="2">
        <v>7.1428571428571397E-2</v>
      </c>
      <c r="W72" s="2">
        <v>6.6666666666666693E-2</v>
      </c>
      <c r="X72" s="2">
        <v>0.33333333333333298</v>
      </c>
      <c r="Y72" s="2">
        <v>0.16666666666666699</v>
      </c>
      <c r="Z72" s="2">
        <v>0.36363636363636398</v>
      </c>
    </row>
    <row r="73" spans="1:26" x14ac:dyDescent="0.35">
      <c r="A73" s="2" t="s">
        <v>1016</v>
      </c>
      <c r="B73" s="2">
        <v>0.33333333333333298</v>
      </c>
      <c r="C73" s="2">
        <v>0.44444444444444398</v>
      </c>
      <c r="D73" s="2">
        <v>0.3</v>
      </c>
      <c r="E73" s="2">
        <v>0.3</v>
      </c>
      <c r="F73" s="2">
        <v>0.2</v>
      </c>
      <c r="G73" s="2">
        <v>0.25</v>
      </c>
      <c r="H73" s="2">
        <v>0.14285714285714299</v>
      </c>
      <c r="I73" s="2">
        <v>7.69230769230769E-2</v>
      </c>
      <c r="J73" s="2">
        <v>9.0909090909090898E-2</v>
      </c>
      <c r="K73" s="2">
        <v>7.69230769230769E-2</v>
      </c>
      <c r="L73" s="2">
        <v>8.3333333333333301E-2</v>
      </c>
      <c r="M73" s="2">
        <v>0.15384615384615399</v>
      </c>
      <c r="N73" s="2">
        <v>0.1</v>
      </c>
      <c r="O73" s="2">
        <v>8.3333333333333301E-2</v>
      </c>
      <c r="P73" s="2">
        <v>0</v>
      </c>
      <c r="Q73" s="2">
        <v>0.2</v>
      </c>
      <c r="R73" s="2">
        <v>0.2</v>
      </c>
      <c r="S73" s="2">
        <v>9.0909090909090898E-2</v>
      </c>
      <c r="T73" s="2">
        <v>8.3333333333333301E-2</v>
      </c>
      <c r="U73" s="2">
        <v>0.3</v>
      </c>
      <c r="V73" s="2">
        <v>0</v>
      </c>
      <c r="W73" s="2">
        <v>0</v>
      </c>
      <c r="X73" s="2">
        <v>0.33333333333333298</v>
      </c>
      <c r="Y73" s="2">
        <v>9.0909090909090898E-2</v>
      </c>
      <c r="Z73" s="2">
        <v>0.3</v>
      </c>
    </row>
    <row r="74" spans="1:26" x14ac:dyDescent="0.35">
      <c r="A74" s="2" t="s">
        <v>1017</v>
      </c>
      <c r="B74" s="2">
        <v>0.16666666666666699</v>
      </c>
      <c r="C74" s="2">
        <v>0.33333333333333298</v>
      </c>
      <c r="D74" s="2">
        <v>0.14285714285714299</v>
      </c>
      <c r="E74" s="2">
        <v>0.14285714285714299</v>
      </c>
      <c r="F74" s="2">
        <v>0</v>
      </c>
      <c r="G74" s="2">
        <v>0.46153846153846201</v>
      </c>
      <c r="H74" s="2">
        <v>0.33333333333333298</v>
      </c>
      <c r="I74" s="2">
        <v>0.27272727272727298</v>
      </c>
      <c r="J74" s="2">
        <v>0.125</v>
      </c>
      <c r="K74" s="2">
        <v>0.27272727272727298</v>
      </c>
      <c r="L74" s="2">
        <v>0.33333333333333298</v>
      </c>
      <c r="M74" s="2">
        <v>0.36363636363636398</v>
      </c>
      <c r="N74" s="2">
        <v>0.1</v>
      </c>
      <c r="O74" s="2">
        <v>0.25</v>
      </c>
      <c r="P74" s="2">
        <v>0.2</v>
      </c>
      <c r="Q74" s="2">
        <v>0</v>
      </c>
      <c r="R74" s="2">
        <v>0</v>
      </c>
      <c r="S74" s="2">
        <v>0.11111111111111099</v>
      </c>
      <c r="T74" s="2">
        <v>0.25</v>
      </c>
      <c r="U74" s="2">
        <v>0.125</v>
      </c>
      <c r="V74" s="2">
        <v>0.2</v>
      </c>
      <c r="W74" s="2">
        <v>0.22222222222222199</v>
      </c>
      <c r="X74" s="2">
        <v>0.14285714285714299</v>
      </c>
      <c r="Y74" s="2">
        <v>0.125</v>
      </c>
      <c r="Z74" s="2">
        <v>0.125</v>
      </c>
    </row>
    <row r="75" spans="1:26" x14ac:dyDescent="0.35">
      <c r="A75" s="2" t="s">
        <v>1018</v>
      </c>
      <c r="B75" s="2">
        <v>0.14285714285714299</v>
      </c>
      <c r="C75" s="2">
        <v>0.28571428571428598</v>
      </c>
      <c r="D75" s="2">
        <v>0.125</v>
      </c>
      <c r="E75" s="2">
        <v>0.125</v>
      </c>
      <c r="F75" s="2">
        <v>0</v>
      </c>
      <c r="G75" s="2">
        <v>0.46153846153846201</v>
      </c>
      <c r="H75" s="2">
        <v>0.33333333333333298</v>
      </c>
      <c r="I75" s="2">
        <v>0.27272727272727298</v>
      </c>
      <c r="J75" s="2">
        <v>0.11111111111111099</v>
      </c>
      <c r="K75" s="2">
        <v>0.27272727272727298</v>
      </c>
      <c r="L75" s="2">
        <v>0.27272727272727298</v>
      </c>
      <c r="M75" s="2">
        <v>0.33333333333333298</v>
      </c>
      <c r="N75" s="2">
        <v>0.1</v>
      </c>
      <c r="O75" s="2">
        <v>0.230769230769231</v>
      </c>
      <c r="P75" s="2">
        <v>0.2</v>
      </c>
      <c r="Q75" s="2">
        <v>0</v>
      </c>
      <c r="R75" s="2">
        <v>0</v>
      </c>
      <c r="S75" s="2">
        <v>0.1</v>
      </c>
      <c r="T75" s="2">
        <v>0.3</v>
      </c>
      <c r="U75" s="2">
        <v>0.16666666666666699</v>
      </c>
      <c r="V75" s="2">
        <v>0.2</v>
      </c>
      <c r="W75" s="2">
        <v>0.2</v>
      </c>
      <c r="X75" s="2">
        <v>0.14285714285714299</v>
      </c>
      <c r="Y75" s="2">
        <v>0.11111111111111099</v>
      </c>
      <c r="Z75" s="2">
        <v>0.125</v>
      </c>
    </row>
    <row r="76" spans="1:26" x14ac:dyDescent="0.35">
      <c r="A76" s="2" t="s">
        <v>1019</v>
      </c>
      <c r="B76" s="2">
        <v>0.22222222222222199</v>
      </c>
      <c r="C76" s="2">
        <v>0.33333333333333298</v>
      </c>
      <c r="D76" s="2">
        <v>0.2</v>
      </c>
      <c r="E76" s="2">
        <v>0.2</v>
      </c>
      <c r="F76" s="2">
        <v>0.1</v>
      </c>
      <c r="G76" s="2">
        <v>0.3125</v>
      </c>
      <c r="H76" s="2">
        <v>0.214285714285714</v>
      </c>
      <c r="I76" s="2">
        <v>0.15384615384615399</v>
      </c>
      <c r="J76" s="2">
        <v>0</v>
      </c>
      <c r="K76" s="2">
        <v>0.15384615384615399</v>
      </c>
      <c r="L76" s="2">
        <v>0.16666666666666699</v>
      </c>
      <c r="M76" s="2">
        <v>0.230769230769231</v>
      </c>
      <c r="N76" s="2">
        <v>0</v>
      </c>
      <c r="O76" s="2">
        <v>0.15384615384615399</v>
      </c>
      <c r="P76" s="2">
        <v>9.0909090909090898E-2</v>
      </c>
      <c r="Q76" s="2">
        <v>0.11111111111111099</v>
      </c>
      <c r="R76" s="2">
        <v>0.1</v>
      </c>
      <c r="S76" s="2">
        <v>0</v>
      </c>
      <c r="T76" s="2">
        <v>0.2</v>
      </c>
      <c r="U76" s="2">
        <v>0.22222222222222199</v>
      </c>
      <c r="V76" s="2">
        <v>8.3333333333333301E-2</v>
      </c>
      <c r="W76" s="2">
        <v>9.0909090909090898E-2</v>
      </c>
      <c r="X76" s="2">
        <v>0.22222222222222199</v>
      </c>
      <c r="Y76" s="2">
        <v>0</v>
      </c>
      <c r="Z76" s="2">
        <v>0.22222222222222199</v>
      </c>
    </row>
    <row r="77" spans="1:26" x14ac:dyDescent="0.35">
      <c r="A77" s="2" t="s">
        <v>1020</v>
      </c>
      <c r="B77" s="2">
        <v>0.36363636363636398</v>
      </c>
      <c r="C77" s="2">
        <v>0.45454545454545497</v>
      </c>
      <c r="D77" s="2">
        <v>0.33333333333333298</v>
      </c>
      <c r="E77" s="2">
        <v>0.33333333333333298</v>
      </c>
      <c r="F77" s="2">
        <v>0.27272727272727298</v>
      </c>
      <c r="G77" s="2">
        <v>0.17647058823529399</v>
      </c>
      <c r="H77" s="2">
        <v>6.25E-2</v>
      </c>
      <c r="I77" s="2">
        <v>0</v>
      </c>
      <c r="J77" s="2">
        <v>0.16666666666666699</v>
      </c>
      <c r="K77" s="2">
        <v>0</v>
      </c>
      <c r="L77" s="2">
        <v>0</v>
      </c>
      <c r="M77" s="2">
        <v>7.1428571428571397E-2</v>
      </c>
      <c r="N77" s="2">
        <v>0.18181818181818199</v>
      </c>
      <c r="O77" s="2">
        <v>0</v>
      </c>
      <c r="P77" s="2">
        <v>8.3333333333333301E-2</v>
      </c>
      <c r="Q77" s="2">
        <v>0.25</v>
      </c>
      <c r="R77" s="2">
        <v>0.3</v>
      </c>
      <c r="S77" s="2">
        <v>0.2</v>
      </c>
      <c r="T77" s="2">
        <v>0</v>
      </c>
      <c r="U77" s="2">
        <v>0.44444444444444398</v>
      </c>
      <c r="V77" s="2">
        <v>7.1428571428571397E-2</v>
      </c>
      <c r="W77" s="2">
        <v>7.1428571428571397E-2</v>
      </c>
      <c r="X77" s="2">
        <v>0.36363636363636398</v>
      </c>
      <c r="Y77" s="2">
        <v>0.16666666666666699</v>
      </c>
      <c r="Z77" s="2">
        <v>0.36363636363636398</v>
      </c>
    </row>
    <row r="78" spans="1:26" x14ac:dyDescent="0.35">
      <c r="A78" s="2" t="s">
        <v>1021</v>
      </c>
      <c r="B78" s="2">
        <v>0</v>
      </c>
      <c r="C78" s="2">
        <v>0.16666666666666699</v>
      </c>
      <c r="D78" s="2">
        <v>0</v>
      </c>
      <c r="E78" s="2">
        <v>0</v>
      </c>
      <c r="F78" s="2">
        <v>0.125</v>
      </c>
      <c r="G78" s="2">
        <v>0.5</v>
      </c>
      <c r="H78" s="2">
        <v>0.45454545454545497</v>
      </c>
      <c r="I78" s="2">
        <v>0.4</v>
      </c>
      <c r="J78" s="2">
        <v>0.22222222222222199</v>
      </c>
      <c r="K78" s="2">
        <v>0.36363636363636398</v>
      </c>
      <c r="L78" s="2">
        <v>0.36363636363636398</v>
      </c>
      <c r="M78" s="2">
        <v>0.41666666666666702</v>
      </c>
      <c r="N78" s="2">
        <v>0.25</v>
      </c>
      <c r="O78" s="2">
        <v>0.36363636363636398</v>
      </c>
      <c r="P78" s="2">
        <v>0.3</v>
      </c>
      <c r="Q78" s="2">
        <v>0.125</v>
      </c>
      <c r="R78" s="2">
        <v>0.16666666666666699</v>
      </c>
      <c r="S78" s="2">
        <v>0.22222222222222199</v>
      </c>
      <c r="T78" s="2">
        <v>0.44444444444444398</v>
      </c>
      <c r="U78" s="2">
        <v>0</v>
      </c>
      <c r="V78" s="2">
        <v>0.3</v>
      </c>
      <c r="W78" s="2">
        <v>0.3</v>
      </c>
      <c r="X78" s="2">
        <v>0</v>
      </c>
      <c r="Y78" s="2">
        <v>0.22222222222222199</v>
      </c>
      <c r="Z78" s="2">
        <v>0</v>
      </c>
    </row>
    <row r="79" spans="1:26" x14ac:dyDescent="0.35">
      <c r="A79" s="2" t="s">
        <v>1022</v>
      </c>
      <c r="B79" s="2">
        <v>0.33333333333333298</v>
      </c>
      <c r="C79" s="2">
        <v>0.44444444444444398</v>
      </c>
      <c r="D79" s="2">
        <v>0.3</v>
      </c>
      <c r="E79" s="2">
        <v>0.3</v>
      </c>
      <c r="F79" s="2">
        <v>0.2</v>
      </c>
      <c r="G79" s="2">
        <v>0.25</v>
      </c>
      <c r="H79" s="2">
        <v>0.15384615384615399</v>
      </c>
      <c r="I79" s="2">
        <v>8.3333333333333301E-2</v>
      </c>
      <c r="J79" s="2">
        <v>9.0909090909090898E-2</v>
      </c>
      <c r="K79" s="2">
        <v>7.69230769230769E-2</v>
      </c>
      <c r="L79" s="2">
        <v>7.69230769230769E-2</v>
      </c>
      <c r="M79" s="2">
        <v>0.14285714285714299</v>
      </c>
      <c r="N79" s="2">
        <v>8.3333333333333301E-2</v>
      </c>
      <c r="O79" s="2">
        <v>7.1428571428571397E-2</v>
      </c>
      <c r="P79" s="2">
        <v>0</v>
      </c>
      <c r="Q79" s="2">
        <v>0.2</v>
      </c>
      <c r="R79" s="2">
        <v>0.2</v>
      </c>
      <c r="S79" s="2">
        <v>8.3333333333333301E-2</v>
      </c>
      <c r="T79" s="2">
        <v>7.1428571428571397E-2</v>
      </c>
      <c r="U79" s="2">
        <v>0.3</v>
      </c>
      <c r="V79" s="2">
        <v>0</v>
      </c>
      <c r="W79" s="2">
        <v>0</v>
      </c>
      <c r="X79" s="2">
        <v>0.42857142857142899</v>
      </c>
      <c r="Y79" s="2">
        <v>0.1</v>
      </c>
      <c r="Z79" s="2">
        <v>0.375</v>
      </c>
    </row>
    <row r="80" spans="1:26" x14ac:dyDescent="0.35">
      <c r="A80" s="2" t="s">
        <v>1023</v>
      </c>
      <c r="B80" s="2">
        <v>0.33333333333333298</v>
      </c>
      <c r="C80" s="2">
        <v>0.44444444444444398</v>
      </c>
      <c r="D80" s="2">
        <v>0.3</v>
      </c>
      <c r="E80" s="2">
        <v>0.3</v>
      </c>
      <c r="F80" s="2">
        <v>0.2</v>
      </c>
      <c r="G80" s="2">
        <v>0.25</v>
      </c>
      <c r="H80" s="2">
        <v>0.14285714285714299</v>
      </c>
      <c r="I80" s="2">
        <v>7.69230769230769E-2</v>
      </c>
      <c r="J80" s="2">
        <v>9.0909090909090898E-2</v>
      </c>
      <c r="K80" s="2">
        <v>7.69230769230769E-2</v>
      </c>
      <c r="L80" s="2">
        <v>9.0909090909090898E-2</v>
      </c>
      <c r="M80" s="2">
        <v>0.16666666666666699</v>
      </c>
      <c r="N80" s="2">
        <v>8.3333333333333301E-2</v>
      </c>
      <c r="O80" s="2">
        <v>6.6666666666666693E-2</v>
      </c>
      <c r="P80" s="2">
        <v>0</v>
      </c>
      <c r="Q80" s="2">
        <v>0.22222222222222199</v>
      </c>
      <c r="R80" s="2">
        <v>0.2</v>
      </c>
      <c r="S80" s="2">
        <v>9.0909090909090898E-2</v>
      </c>
      <c r="T80" s="2">
        <v>7.1428571428571397E-2</v>
      </c>
      <c r="U80" s="2">
        <v>0.3</v>
      </c>
      <c r="V80" s="2">
        <v>0</v>
      </c>
      <c r="W80" s="2">
        <v>0</v>
      </c>
      <c r="X80" s="2">
        <v>0.375</v>
      </c>
      <c r="Y80" s="2">
        <v>0.1</v>
      </c>
      <c r="Z80" s="2">
        <v>0.375</v>
      </c>
    </row>
    <row r="81" spans="1:26" x14ac:dyDescent="0.35">
      <c r="A81" s="2" t="s">
        <v>1024</v>
      </c>
      <c r="B81" s="2">
        <v>0</v>
      </c>
      <c r="C81" s="2">
        <v>0.16666666666666699</v>
      </c>
      <c r="D81" s="2">
        <v>0</v>
      </c>
      <c r="E81" s="2">
        <v>0</v>
      </c>
      <c r="F81" s="2">
        <v>0.14285714285714299</v>
      </c>
      <c r="G81" s="2">
        <v>0.53846153846153799</v>
      </c>
      <c r="H81" s="2">
        <v>0.45454545454545497</v>
      </c>
      <c r="I81" s="2">
        <v>0.4</v>
      </c>
      <c r="J81" s="2">
        <v>0.25</v>
      </c>
      <c r="K81" s="2">
        <v>0.4</v>
      </c>
      <c r="L81" s="2">
        <v>0.4</v>
      </c>
      <c r="M81" s="2">
        <v>0.45454545454545497</v>
      </c>
      <c r="N81" s="2">
        <v>0.22222222222222199</v>
      </c>
      <c r="O81" s="2">
        <v>0.33333333333333298</v>
      </c>
      <c r="P81" s="2">
        <v>0.33333333333333298</v>
      </c>
      <c r="Q81" s="2">
        <v>0.14285714285714299</v>
      </c>
      <c r="R81" s="2">
        <v>0.14285714285714299</v>
      </c>
      <c r="S81" s="2">
        <v>0.22222222222222199</v>
      </c>
      <c r="T81" s="2">
        <v>0.36363636363636398</v>
      </c>
      <c r="U81" s="2">
        <v>0</v>
      </c>
      <c r="V81" s="2">
        <v>0.42857142857142899</v>
      </c>
      <c r="W81" s="2">
        <v>0.375</v>
      </c>
      <c r="X81" s="2">
        <v>0</v>
      </c>
      <c r="Y81" s="2">
        <v>0.25</v>
      </c>
      <c r="Z81" s="2">
        <v>0</v>
      </c>
    </row>
    <row r="82" spans="1:26" x14ac:dyDescent="0.35">
      <c r="A82" s="2" t="s">
        <v>1025</v>
      </c>
      <c r="B82" s="2">
        <v>0.25</v>
      </c>
      <c r="C82" s="2">
        <v>0.375</v>
      </c>
      <c r="D82" s="2">
        <v>0.22222222222222199</v>
      </c>
      <c r="E82" s="2">
        <v>0.22222222222222199</v>
      </c>
      <c r="F82" s="2">
        <v>0.11111111111111099</v>
      </c>
      <c r="G82" s="2">
        <v>0.33333333333333298</v>
      </c>
      <c r="H82" s="2">
        <v>0.25</v>
      </c>
      <c r="I82" s="2">
        <v>0.18181818181818199</v>
      </c>
      <c r="J82" s="2">
        <v>0</v>
      </c>
      <c r="K82" s="2">
        <v>0.16666666666666699</v>
      </c>
      <c r="L82" s="2">
        <v>0.18181818181818199</v>
      </c>
      <c r="M82" s="2">
        <v>0.25</v>
      </c>
      <c r="N82" s="2">
        <v>0</v>
      </c>
      <c r="O82" s="2">
        <v>0.16666666666666699</v>
      </c>
      <c r="P82" s="2">
        <v>9.0909090909090898E-2</v>
      </c>
      <c r="Q82" s="2">
        <v>0.125</v>
      </c>
      <c r="R82" s="2">
        <v>0.11111111111111099</v>
      </c>
      <c r="S82" s="2">
        <v>0</v>
      </c>
      <c r="T82" s="2">
        <v>0.16666666666666699</v>
      </c>
      <c r="U82" s="2">
        <v>0.22222222222222199</v>
      </c>
      <c r="V82" s="2">
        <v>0.1</v>
      </c>
      <c r="W82" s="2">
        <v>0.1</v>
      </c>
      <c r="X82" s="2">
        <v>0.25</v>
      </c>
      <c r="Y82" s="2">
        <v>0</v>
      </c>
      <c r="Z82" s="2">
        <v>0.28571428571428598</v>
      </c>
    </row>
    <row r="83" spans="1:26" x14ac:dyDescent="0.35">
      <c r="A83" s="2" t="s">
        <v>1026</v>
      </c>
      <c r="B83" s="2">
        <v>0</v>
      </c>
      <c r="C83" s="2">
        <v>0.14285714285714299</v>
      </c>
      <c r="D83" s="2">
        <v>0</v>
      </c>
      <c r="E83" s="2">
        <v>0</v>
      </c>
      <c r="F83" s="2">
        <v>0.125</v>
      </c>
      <c r="G83" s="2">
        <v>0.5</v>
      </c>
      <c r="H83" s="2">
        <v>0.45454545454545497</v>
      </c>
      <c r="I83" s="2">
        <v>0.4</v>
      </c>
      <c r="J83" s="2">
        <v>0.22222222222222199</v>
      </c>
      <c r="K83" s="2">
        <v>0.36363636363636398</v>
      </c>
      <c r="L83" s="2">
        <v>0.4</v>
      </c>
      <c r="M83" s="2">
        <v>0.45454545454545497</v>
      </c>
      <c r="N83" s="2">
        <v>0.22222222222222199</v>
      </c>
      <c r="O83" s="2">
        <v>0.36363636363636398</v>
      </c>
      <c r="P83" s="2">
        <v>0.3</v>
      </c>
      <c r="Q83" s="2">
        <v>0.125</v>
      </c>
      <c r="R83" s="2">
        <v>0.125</v>
      </c>
      <c r="S83" s="2">
        <v>0.22222222222222199</v>
      </c>
      <c r="T83" s="2">
        <v>0.36363636363636398</v>
      </c>
      <c r="U83" s="2">
        <v>0</v>
      </c>
      <c r="V83" s="2">
        <v>0.375</v>
      </c>
      <c r="W83" s="2">
        <v>0.375</v>
      </c>
      <c r="X83" s="2">
        <v>0</v>
      </c>
      <c r="Y83" s="2">
        <v>0.28571428571428598</v>
      </c>
      <c r="Z83" s="2">
        <v>0</v>
      </c>
    </row>
    <row r="85" spans="1:26" x14ac:dyDescent="0.35">
      <c r="A85" s="73" t="s">
        <v>1033</v>
      </c>
      <c r="B85" s="73"/>
      <c r="C85" s="73"/>
      <c r="D85" s="73"/>
      <c r="E85" s="73"/>
      <c r="F85" s="73"/>
      <c r="G85" s="73"/>
    </row>
    <row r="86" spans="1:26" x14ac:dyDescent="0.35">
      <c r="A86" s="43" t="s">
        <v>1028</v>
      </c>
      <c r="B86" s="43" t="s">
        <v>1029</v>
      </c>
      <c r="C86" s="43" t="s">
        <v>1030</v>
      </c>
      <c r="D86" s="43" t="s">
        <v>1031</v>
      </c>
      <c r="E86" s="43" t="s">
        <v>1032</v>
      </c>
    </row>
    <row r="87" spans="1:26" x14ac:dyDescent="0.35">
      <c r="A87" s="43">
        <v>0.40210259999999998</v>
      </c>
      <c r="B87" s="43">
        <v>0.40210259999999998</v>
      </c>
      <c r="C87" s="43">
        <v>0.11165949999999999</v>
      </c>
      <c r="D87" s="43">
        <v>0.72231089999999998</v>
      </c>
      <c r="E87" s="43">
        <v>0.72231089999999998</v>
      </c>
    </row>
    <row r="89" spans="1:26" x14ac:dyDescent="0.35">
      <c r="A89" s="1" t="s">
        <v>604</v>
      </c>
    </row>
    <row r="90" spans="1:26" x14ac:dyDescent="0.35">
      <c r="A90" s="2" t="s">
        <v>1034</v>
      </c>
    </row>
    <row r="91" spans="1:26" x14ac:dyDescent="0.35">
      <c r="A91" s="2" t="s">
        <v>1036</v>
      </c>
    </row>
    <row r="92" spans="1:26" x14ac:dyDescent="0.35">
      <c r="A92" s="2" t="s">
        <v>1037</v>
      </c>
    </row>
    <row r="93" spans="1:26" x14ac:dyDescent="0.35">
      <c r="A93" s="2" t="s">
        <v>1038</v>
      </c>
    </row>
    <row r="94" spans="1:26" x14ac:dyDescent="0.35">
      <c r="A94" s="2" t="s">
        <v>1039</v>
      </c>
    </row>
    <row r="95" spans="1:26" x14ac:dyDescent="0.35">
      <c r="A95" s="2" t="s">
        <v>1040</v>
      </c>
    </row>
  </sheetData>
  <mergeCells count="1">
    <mergeCell ref="A85:G85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C5257-0E20-4D53-BA66-622101739928}">
  <dimension ref="A1:F301"/>
  <sheetViews>
    <sheetView workbookViewId="0">
      <selection activeCell="I26" sqref="I26"/>
    </sheetView>
  </sheetViews>
  <sheetFormatPr defaultRowHeight="14.15" x14ac:dyDescent="0.35"/>
  <cols>
    <col min="1" max="1" width="9.140625" style="2"/>
    <col min="2" max="2" width="11.140625" style="2" customWidth="1"/>
    <col min="3" max="3" width="9.7109375" style="2" customWidth="1"/>
    <col min="4" max="16384" width="9.140625" style="2"/>
  </cols>
  <sheetData>
    <row r="1" spans="1:6" x14ac:dyDescent="0.35">
      <c r="A1" s="2" t="s">
        <v>1043</v>
      </c>
      <c r="B1" s="2" t="s">
        <v>1044</v>
      </c>
      <c r="C1" s="2" t="s">
        <v>1045</v>
      </c>
      <c r="D1" s="2" t="s">
        <v>1046</v>
      </c>
      <c r="F1" s="1" t="s">
        <v>604</v>
      </c>
    </row>
    <row r="2" spans="1:6" x14ac:dyDescent="0.35">
      <c r="A2" s="2">
        <v>0.6</v>
      </c>
      <c r="B2" s="2">
        <v>1.04149435397381</v>
      </c>
      <c r="C2" s="2">
        <v>1.6239280174410899</v>
      </c>
      <c r="D2" s="2">
        <v>121.423685566088</v>
      </c>
      <c r="F2" s="2" t="s">
        <v>1034</v>
      </c>
    </row>
    <row r="3" spans="1:6" x14ac:dyDescent="0.35">
      <c r="A3" s="2">
        <v>0.36</v>
      </c>
      <c r="B3" s="2">
        <v>2.6445169646158102</v>
      </c>
      <c r="C3" s="2">
        <v>2.40191536774921</v>
      </c>
      <c r="D3" s="2">
        <v>116.44419832020201</v>
      </c>
      <c r="F3" s="2" t="s">
        <v>669</v>
      </c>
    </row>
    <row r="4" spans="1:6" x14ac:dyDescent="0.35">
      <c r="A4" s="2">
        <v>0.4</v>
      </c>
      <c r="B4" s="2">
        <v>1.52884580630372</v>
      </c>
      <c r="C4" s="2">
        <v>0.76101442975351197</v>
      </c>
      <c r="D4" s="2">
        <v>163.932549729215</v>
      </c>
      <c r="F4" s="2" t="s">
        <v>1035</v>
      </c>
    </row>
    <row r="5" spans="1:6" x14ac:dyDescent="0.35">
      <c r="A5" s="2">
        <v>0.3</v>
      </c>
      <c r="B5" s="2">
        <v>2.3560342014014202</v>
      </c>
      <c r="C5" s="2">
        <v>3.61803265884644</v>
      </c>
      <c r="D5" s="2">
        <v>262.89812619518898</v>
      </c>
      <c r="F5" s="2" t="s">
        <v>1047</v>
      </c>
    </row>
    <row r="6" spans="1:6" x14ac:dyDescent="0.35">
      <c r="A6" s="2">
        <v>0.62</v>
      </c>
      <c r="B6" s="2">
        <v>2.6761455408087902</v>
      </c>
      <c r="C6" s="2">
        <v>2.7397664699392998</v>
      </c>
      <c r="D6" s="2">
        <v>410.32013098950603</v>
      </c>
      <c r="F6" s="2" t="s">
        <v>1048</v>
      </c>
    </row>
    <row r="7" spans="1:6" x14ac:dyDescent="0.35">
      <c r="A7" s="2">
        <v>0.2</v>
      </c>
      <c r="B7" s="2">
        <v>3.13079890196948</v>
      </c>
      <c r="C7" s="2">
        <v>2.54066552117499</v>
      </c>
      <c r="D7" s="2">
        <v>465.415890826718</v>
      </c>
      <c r="F7" s="2" t="s">
        <v>1049</v>
      </c>
    </row>
    <row r="8" spans="1:6" x14ac:dyDescent="0.35">
      <c r="A8" s="2">
        <v>0.24</v>
      </c>
      <c r="B8" s="2">
        <v>3.1075980118748401</v>
      </c>
      <c r="C8" s="2">
        <v>2.2672595634686101</v>
      </c>
      <c r="D8" s="2">
        <v>548.30315475972895</v>
      </c>
      <c r="F8" s="2" t="s">
        <v>1050</v>
      </c>
    </row>
    <row r="9" spans="1:6" x14ac:dyDescent="0.35">
      <c r="A9" s="2">
        <v>0.44</v>
      </c>
      <c r="B9" s="2">
        <v>3.2132732287126</v>
      </c>
      <c r="C9" s="2">
        <v>1.5641241419805401</v>
      </c>
      <c r="D9" s="2">
        <v>609.26753787862901</v>
      </c>
      <c r="F9" s="2" t="s">
        <v>1051</v>
      </c>
    </row>
    <row r="10" spans="1:6" x14ac:dyDescent="0.35">
      <c r="A10" s="2">
        <v>0.54</v>
      </c>
      <c r="B10" s="2">
        <v>2.9408544099957998</v>
      </c>
      <c r="C10" s="2">
        <v>1.2562477413898201</v>
      </c>
      <c r="D10" s="2">
        <v>646.12211054563397</v>
      </c>
      <c r="F10" s="2" t="s">
        <v>1052</v>
      </c>
    </row>
    <row r="11" spans="1:6" x14ac:dyDescent="0.35">
      <c r="A11" s="2">
        <v>0.57599999999999996</v>
      </c>
      <c r="B11" s="2">
        <v>3.1709027669475498</v>
      </c>
      <c r="C11" s="2">
        <v>1.7403132456792501</v>
      </c>
      <c r="D11" s="2">
        <v>1308.8213759865801</v>
      </c>
      <c r="F11" s="2" t="s">
        <v>1053</v>
      </c>
    </row>
    <row r="12" spans="1:6" x14ac:dyDescent="0.35">
      <c r="A12" s="2">
        <v>0.48</v>
      </c>
      <c r="B12" s="2">
        <v>2.4343743387885999</v>
      </c>
      <c r="C12" s="2">
        <v>1.7825348732108399</v>
      </c>
      <c r="D12" s="2">
        <v>1457.42050462732</v>
      </c>
      <c r="F12" s="2" t="s">
        <v>1054</v>
      </c>
    </row>
    <row r="13" spans="1:6" x14ac:dyDescent="0.35">
      <c r="A13" s="2">
        <v>0.68</v>
      </c>
      <c r="B13" s="2">
        <v>3.3975479011171399</v>
      </c>
      <c r="C13" s="2">
        <v>3.5605411907418301</v>
      </c>
      <c r="D13" s="2">
        <v>1544.02140380987</v>
      </c>
      <c r="F13" s="2" t="s">
        <v>1055</v>
      </c>
    </row>
    <row r="14" spans="1:6" x14ac:dyDescent="0.35">
      <c r="A14" s="2">
        <v>0.94</v>
      </c>
      <c r="B14" s="2">
        <v>2.4664299705653399</v>
      </c>
      <c r="C14" s="2">
        <v>2.4411092509115302</v>
      </c>
      <c r="D14" s="2">
        <v>1718.7539183425599</v>
      </c>
      <c r="F14" s="2" t="s">
        <v>1056</v>
      </c>
    </row>
    <row r="15" spans="1:6" x14ac:dyDescent="0.35">
      <c r="A15" s="2">
        <v>0.6</v>
      </c>
      <c r="B15" s="2">
        <v>3.0323451104214199</v>
      </c>
      <c r="C15" s="2">
        <v>2.4604579171513401</v>
      </c>
      <c r="D15" s="2">
        <v>1767.9506124428899</v>
      </c>
      <c r="F15" s="2" t="s">
        <v>1057</v>
      </c>
    </row>
    <row r="16" spans="1:6" x14ac:dyDescent="0.35">
      <c r="A16" s="2">
        <v>0.38</v>
      </c>
      <c r="B16" s="2">
        <v>3.8789209623725101</v>
      </c>
      <c r="C16" s="2">
        <v>3.5693361582153398</v>
      </c>
      <c r="D16" s="2">
        <v>4485.5852562277496</v>
      </c>
      <c r="F16" s="2" t="s">
        <v>1058</v>
      </c>
    </row>
    <row r="17" spans="1:6" x14ac:dyDescent="0.35">
      <c r="A17" s="2">
        <v>0.36</v>
      </c>
      <c r="B17" s="2">
        <v>3.81443428987484</v>
      </c>
      <c r="C17" s="2">
        <v>3.9083444815221999</v>
      </c>
      <c r="D17" s="2">
        <v>4582.1214848946502</v>
      </c>
      <c r="F17" s="2" t="s">
        <v>1059</v>
      </c>
    </row>
    <row r="18" spans="1:6" x14ac:dyDescent="0.35">
      <c r="A18" s="2">
        <v>0.64</v>
      </c>
      <c r="B18" s="2">
        <v>3.8000025907296799</v>
      </c>
      <c r="C18" s="2">
        <v>3.7872723492445699</v>
      </c>
      <c r="D18" s="2">
        <v>4660.8163230934897</v>
      </c>
      <c r="F18" s="2" t="s">
        <v>1060</v>
      </c>
    </row>
    <row r="19" spans="1:6" x14ac:dyDescent="0.35">
      <c r="A19" s="2">
        <v>0.64</v>
      </c>
      <c r="B19" s="2">
        <v>3.7917319810646402</v>
      </c>
      <c r="C19" s="2">
        <v>3.4884675495946098</v>
      </c>
      <c r="D19" s="2">
        <v>4789.5337470371796</v>
      </c>
    </row>
    <row r="20" spans="1:6" x14ac:dyDescent="0.35">
      <c r="A20" s="2">
        <v>0.94</v>
      </c>
      <c r="B20" s="2">
        <v>3.8365678064011899</v>
      </c>
      <c r="C20" s="2">
        <v>4.88998535219842</v>
      </c>
      <c r="D20" s="2">
        <v>4868.2369373453403</v>
      </c>
    </row>
    <row r="21" spans="1:6" x14ac:dyDescent="0.35">
      <c r="A21" s="2">
        <v>0.54</v>
      </c>
      <c r="B21" s="2">
        <v>3.8090484758115299</v>
      </c>
      <c r="C21" s="2">
        <v>3.89770749623698</v>
      </c>
      <c r="D21" s="2">
        <v>5935.0880151266401</v>
      </c>
    </row>
    <row r="22" spans="1:6" x14ac:dyDescent="0.35">
      <c r="A22" s="2">
        <v>0.52</v>
      </c>
      <c r="B22" s="2">
        <v>3.81239223523774</v>
      </c>
      <c r="C22" s="2">
        <v>4.3094486025047498</v>
      </c>
      <c r="D22" s="2">
        <v>5999.6740785243801</v>
      </c>
    </row>
    <row r="23" spans="1:6" x14ac:dyDescent="0.35">
      <c r="A23" s="2">
        <v>0.54</v>
      </c>
      <c r="B23" s="2">
        <v>3.6228963406587802</v>
      </c>
      <c r="C23" s="2">
        <v>2.9450235955909099</v>
      </c>
      <c r="D23" s="2">
        <v>6060.8815648394902</v>
      </c>
    </row>
    <row r="24" spans="1:6" x14ac:dyDescent="0.35">
      <c r="A24" s="2">
        <v>0.57999999999999996</v>
      </c>
      <c r="B24" s="2">
        <v>3.6328073666876799</v>
      </c>
      <c r="C24" s="2">
        <v>1.9764441706726401</v>
      </c>
      <c r="D24" s="2">
        <v>6131.6516775451</v>
      </c>
    </row>
    <row r="25" spans="1:6" x14ac:dyDescent="0.35">
      <c r="A25" s="2">
        <v>0.64</v>
      </c>
      <c r="B25" s="2">
        <v>3.50498133710891</v>
      </c>
      <c r="C25" s="2">
        <v>3.9887069964670299</v>
      </c>
      <c r="D25" s="2">
        <v>6170.0080049487497</v>
      </c>
    </row>
    <row r="26" spans="1:6" x14ac:dyDescent="0.35">
      <c r="A26" s="2">
        <v>0.36</v>
      </c>
      <c r="B26" s="2">
        <v>1.60420654882744</v>
      </c>
      <c r="C26" s="2">
        <v>1.4197174329550599</v>
      </c>
      <c r="D26" s="2">
        <v>106.856419682159</v>
      </c>
    </row>
    <row r="27" spans="1:6" x14ac:dyDescent="0.35">
      <c r="A27" s="2">
        <v>0.56000000000000005</v>
      </c>
      <c r="B27" s="2">
        <v>0.60422595364647202</v>
      </c>
      <c r="C27" s="2">
        <v>1.83739331754429</v>
      </c>
      <c r="D27" s="2">
        <v>96.998656282045303</v>
      </c>
    </row>
    <row r="28" spans="1:6" x14ac:dyDescent="0.35">
      <c r="A28" s="2">
        <v>0.52</v>
      </c>
      <c r="B28" s="2">
        <v>1.31518317731753</v>
      </c>
      <c r="C28" s="2">
        <v>2.3662277489664798</v>
      </c>
      <c r="D28" s="2">
        <v>164.93149325182799</v>
      </c>
    </row>
    <row r="29" spans="1:6" x14ac:dyDescent="0.35">
      <c r="A29" s="2">
        <v>0.79</v>
      </c>
      <c r="B29" s="2">
        <v>2.6250313605749702</v>
      </c>
      <c r="C29" s="2">
        <v>4.3026052614976003</v>
      </c>
      <c r="D29" s="2">
        <v>288.91203751050199</v>
      </c>
    </row>
    <row r="30" spans="1:6" x14ac:dyDescent="0.35">
      <c r="A30" s="2">
        <v>0.79</v>
      </c>
      <c r="B30" s="2">
        <v>2.5720048901958101</v>
      </c>
      <c r="C30" s="2">
        <v>3.3433253955973199</v>
      </c>
      <c r="D30" s="2">
        <v>344.43720829259797</v>
      </c>
    </row>
    <row r="31" spans="1:6" x14ac:dyDescent="0.35">
      <c r="A31" s="2">
        <v>0.76400000000000001</v>
      </c>
      <c r="B31" s="2">
        <v>2.3227645033960198</v>
      </c>
      <c r="C31" s="2">
        <v>2.2885733176324599</v>
      </c>
      <c r="D31" s="2">
        <v>427.15965351379901</v>
      </c>
    </row>
    <row r="32" spans="1:6" x14ac:dyDescent="0.35">
      <c r="A32" s="2">
        <v>0.8</v>
      </c>
      <c r="B32" s="2">
        <v>2.4937836405777198</v>
      </c>
      <c r="C32" s="2">
        <v>2.4555120973125399</v>
      </c>
      <c r="D32" s="2">
        <v>487.861321880471</v>
      </c>
    </row>
    <row r="33" spans="1:4" x14ac:dyDescent="0.35">
      <c r="A33" s="2">
        <v>0.8</v>
      </c>
      <c r="B33" s="2">
        <v>2.4089248235222498</v>
      </c>
      <c r="C33" s="2">
        <v>1.8229477703193</v>
      </c>
      <c r="D33" s="2">
        <v>526.69099382352294</v>
      </c>
    </row>
    <row r="34" spans="1:4" x14ac:dyDescent="0.35">
      <c r="A34" s="2">
        <v>0.93600000000000005</v>
      </c>
      <c r="B34" s="2">
        <v>2.4411734769882698</v>
      </c>
      <c r="C34" s="2">
        <v>2.7453567851569298</v>
      </c>
      <c r="D34" s="2">
        <v>1191.7060594427901</v>
      </c>
    </row>
    <row r="35" spans="1:4" x14ac:dyDescent="0.35">
      <c r="A35" s="2">
        <v>0.84</v>
      </c>
      <c r="B35" s="2">
        <v>2.0267836165730602</v>
      </c>
      <c r="C35" s="2">
        <v>2.9993658836524899</v>
      </c>
      <c r="D35" s="2">
        <v>1340.7484706452401</v>
      </c>
    </row>
    <row r="36" spans="1:4" x14ac:dyDescent="0.35">
      <c r="A36" s="2">
        <v>0.97</v>
      </c>
      <c r="B36" s="2">
        <v>2.7903054521981101</v>
      </c>
      <c r="C36" s="2">
        <v>4.4831181721039899</v>
      </c>
      <c r="D36" s="2">
        <v>1433.10091586044</v>
      </c>
    </row>
    <row r="37" spans="1:4" x14ac:dyDescent="0.35">
      <c r="A37" s="2">
        <v>0.74</v>
      </c>
      <c r="B37" s="2">
        <v>2.7166207477153899</v>
      </c>
      <c r="C37" s="2">
        <v>3.8563628126546798</v>
      </c>
      <c r="D37" s="2">
        <v>1605.8582385275099</v>
      </c>
    </row>
    <row r="38" spans="1:4" x14ac:dyDescent="0.35">
      <c r="A38" s="2">
        <v>0.96</v>
      </c>
      <c r="B38" s="2">
        <v>2.4664722641499801</v>
      </c>
      <c r="C38" s="2">
        <v>2.7071903743508301</v>
      </c>
      <c r="D38" s="2">
        <v>1658.32248104884</v>
      </c>
    </row>
    <row r="39" spans="1:4" x14ac:dyDescent="0.35">
      <c r="A39" s="2">
        <v>0.76</v>
      </c>
      <c r="B39" s="2">
        <v>3.5788236810672802</v>
      </c>
      <c r="C39" s="2">
        <v>3.73724694464569</v>
      </c>
      <c r="D39" s="2">
        <v>4374.4192647256896</v>
      </c>
    </row>
    <row r="40" spans="1:4" x14ac:dyDescent="0.35">
      <c r="A40" s="2">
        <v>0.8</v>
      </c>
      <c r="B40" s="2">
        <v>3.647181928857</v>
      </c>
      <c r="C40" s="2">
        <v>4.2919062953088201</v>
      </c>
      <c r="D40" s="2">
        <v>4470.33273148836</v>
      </c>
    </row>
    <row r="41" spans="1:4" x14ac:dyDescent="0.35">
      <c r="A41" s="2">
        <v>1</v>
      </c>
      <c r="B41" s="2">
        <v>3.92330962967256</v>
      </c>
      <c r="C41" s="2">
        <v>4.4603459960612302</v>
      </c>
      <c r="D41" s="2">
        <v>4548.6590141094803</v>
      </c>
    </row>
    <row r="42" spans="1:4" x14ac:dyDescent="0.35">
      <c r="A42" s="2">
        <v>1</v>
      </c>
      <c r="B42" s="2">
        <v>3.68073290386817</v>
      </c>
      <c r="C42" s="2">
        <v>4.0282799902034299</v>
      </c>
      <c r="D42" s="2">
        <v>4676.7957963757999</v>
      </c>
    </row>
    <row r="43" spans="1:4" x14ac:dyDescent="0.35">
      <c r="A43" s="2">
        <v>0.8</v>
      </c>
      <c r="B43" s="2">
        <v>3.9541373810402201</v>
      </c>
      <c r="C43" s="2">
        <v>5.9011411155258102</v>
      </c>
      <c r="D43" s="2">
        <v>4755.4358241437303</v>
      </c>
    </row>
    <row r="44" spans="1:4" x14ac:dyDescent="0.35">
      <c r="A44" s="2">
        <v>0.9</v>
      </c>
      <c r="B44" s="2">
        <v>3.5135145456823098</v>
      </c>
      <c r="C44" s="2">
        <v>3.70247443292289</v>
      </c>
      <c r="D44" s="2">
        <v>5817.5518737167204</v>
      </c>
    </row>
    <row r="45" spans="1:4" x14ac:dyDescent="0.35">
      <c r="A45" s="2">
        <v>0.88</v>
      </c>
      <c r="B45" s="2">
        <v>3.7216924127602602</v>
      </c>
      <c r="C45" s="2">
        <v>4.43661345495138</v>
      </c>
      <c r="D45" s="2">
        <v>5881.8853860729596</v>
      </c>
    </row>
    <row r="46" spans="1:4" x14ac:dyDescent="0.35">
      <c r="A46" s="2">
        <v>0.9</v>
      </c>
      <c r="B46" s="2">
        <v>3.56838604842901</v>
      </c>
      <c r="C46" s="2">
        <v>3.7172817891842</v>
      </c>
      <c r="D46" s="2">
        <v>5943.0406384588196</v>
      </c>
    </row>
    <row r="47" spans="1:4" x14ac:dyDescent="0.35">
      <c r="A47" s="2">
        <v>0.94</v>
      </c>
      <c r="B47" s="2">
        <v>3.7972331688583298</v>
      </c>
      <c r="C47" s="2">
        <v>2.5337619536287401</v>
      </c>
      <c r="D47" s="2">
        <v>6013.68133800339</v>
      </c>
    </row>
    <row r="48" spans="1:4" x14ac:dyDescent="0.35">
      <c r="A48" s="2">
        <v>1</v>
      </c>
      <c r="B48" s="2">
        <v>3.4648544768098599</v>
      </c>
      <c r="C48" s="2">
        <v>4.5936392487964897</v>
      </c>
      <c r="D48" s="2">
        <v>6051.8159016037098</v>
      </c>
    </row>
    <row r="49" spans="1:4" x14ac:dyDescent="0.35">
      <c r="A49" s="2">
        <v>0.36</v>
      </c>
      <c r="B49" s="2">
        <v>1.2330377496065199</v>
      </c>
      <c r="C49" s="2">
        <v>2.7901866352775699</v>
      </c>
      <c r="D49" s="2">
        <v>63.170611018811897</v>
      </c>
    </row>
    <row r="50" spans="1:4" x14ac:dyDescent="0.35">
      <c r="A50" s="2">
        <v>0.36</v>
      </c>
      <c r="B50" s="2">
        <v>0.29422936175935599</v>
      </c>
      <c r="C50" s="2">
        <v>1.3614023701987099</v>
      </c>
      <c r="D50" s="2">
        <v>166.11265779578201</v>
      </c>
    </row>
    <row r="51" spans="1:4" x14ac:dyDescent="0.35">
      <c r="A51" s="2">
        <v>0.79</v>
      </c>
      <c r="B51" s="2">
        <v>3.2337721048416199</v>
      </c>
      <c r="C51" s="2">
        <v>4.9229036628775802</v>
      </c>
      <c r="D51" s="2">
        <v>354.82444825710797</v>
      </c>
    </row>
    <row r="52" spans="1:4" x14ac:dyDescent="0.35">
      <c r="A52" s="2">
        <v>0.53</v>
      </c>
      <c r="B52" s="2">
        <v>2.3923091051877101</v>
      </c>
      <c r="C52" s="2">
        <v>3.4074697446007698</v>
      </c>
      <c r="D52" s="2">
        <v>399.03693156097398</v>
      </c>
    </row>
    <row r="53" spans="1:4" x14ac:dyDescent="0.35">
      <c r="A53" s="2">
        <v>0.56399999999999995</v>
      </c>
      <c r="B53" s="2">
        <v>1.7101326330962601</v>
      </c>
      <c r="C53" s="2">
        <v>1.95588656620507</v>
      </c>
      <c r="D53" s="2">
        <v>481.61156209183099</v>
      </c>
    </row>
    <row r="54" spans="1:4" x14ac:dyDescent="0.35">
      <c r="A54" s="2">
        <v>0.8</v>
      </c>
      <c r="B54" s="2">
        <v>1.9937336346249901</v>
      </c>
      <c r="C54" s="2">
        <v>2.5518821766356301</v>
      </c>
      <c r="D54" s="2">
        <v>546.19237056396605</v>
      </c>
    </row>
    <row r="55" spans="1:4" x14ac:dyDescent="0.35">
      <c r="A55" s="2">
        <v>0.76</v>
      </c>
      <c r="B55" s="2">
        <v>2.3389774945904001</v>
      </c>
      <c r="C55" s="2">
        <v>2.6393942301178699</v>
      </c>
      <c r="D55" s="2">
        <v>568.09054543692605</v>
      </c>
    </row>
    <row r="56" spans="1:4" x14ac:dyDescent="0.35">
      <c r="A56" s="2">
        <v>0.93600000000000005</v>
      </c>
      <c r="B56" s="2">
        <v>1.95298333064082</v>
      </c>
      <c r="C56" s="2">
        <v>3.5252074874035699</v>
      </c>
      <c r="D56" s="2">
        <v>1220.18392437699</v>
      </c>
    </row>
    <row r="57" spans="1:4" x14ac:dyDescent="0.35">
      <c r="A57" s="2">
        <v>0.84</v>
      </c>
      <c r="B57" s="2">
        <v>2.33887614828617</v>
      </c>
      <c r="C57" s="2">
        <v>3.8573798155105998</v>
      </c>
      <c r="D57" s="2">
        <v>1367.4500040125199</v>
      </c>
    </row>
    <row r="58" spans="1:4" x14ac:dyDescent="0.35">
      <c r="A58" s="2">
        <v>0.97</v>
      </c>
      <c r="B58" s="2">
        <v>2.47717861465649</v>
      </c>
      <c r="C58" s="2">
        <v>5.0664181522396197</v>
      </c>
      <c r="D58" s="2">
        <v>1444.6410618555899</v>
      </c>
    </row>
    <row r="59" spans="1:4" x14ac:dyDescent="0.35">
      <c r="A59" s="2">
        <v>0.74</v>
      </c>
      <c r="B59" s="2">
        <v>3.6785152536551098</v>
      </c>
      <c r="C59" s="2">
        <v>4.3947871373863601</v>
      </c>
      <c r="D59" s="2">
        <v>1621.7465867135099</v>
      </c>
    </row>
    <row r="60" spans="1:4" x14ac:dyDescent="0.35">
      <c r="A60" s="2">
        <v>0.96</v>
      </c>
      <c r="B60" s="2">
        <v>2.3406487869427899</v>
      </c>
      <c r="C60" s="2">
        <v>3.0596356580766</v>
      </c>
      <c r="D60" s="2">
        <v>1666.7852162880299</v>
      </c>
    </row>
    <row r="61" spans="1:4" x14ac:dyDescent="0.35">
      <c r="A61" s="2">
        <v>0.74</v>
      </c>
      <c r="B61" s="2">
        <v>3.6839805928784601</v>
      </c>
      <c r="C61" s="2">
        <v>3.6937277531879298</v>
      </c>
      <c r="D61" s="2">
        <v>4385.0574323792198</v>
      </c>
    </row>
    <row r="62" spans="1:4" x14ac:dyDescent="0.35">
      <c r="A62" s="2">
        <v>0.72</v>
      </c>
      <c r="B62" s="2">
        <v>3.9490152760010702</v>
      </c>
      <c r="C62" s="2">
        <v>4.8984450191600102</v>
      </c>
      <c r="D62" s="2">
        <v>4482.3460118856401</v>
      </c>
    </row>
    <row r="63" spans="1:4" x14ac:dyDescent="0.35">
      <c r="A63" s="2">
        <v>1</v>
      </c>
      <c r="B63" s="2">
        <v>4.5880352690124102</v>
      </c>
      <c r="C63" s="2">
        <v>4.8786809699393201</v>
      </c>
      <c r="D63" s="2">
        <v>4561.5020889830603</v>
      </c>
    </row>
    <row r="64" spans="1:4" x14ac:dyDescent="0.35">
      <c r="A64" s="2">
        <v>1</v>
      </c>
      <c r="B64" s="2">
        <v>4.0633554309089597</v>
      </c>
      <c r="C64" s="2">
        <v>4.4483908135782597</v>
      </c>
      <c r="D64" s="2">
        <v>4690.9772546033901</v>
      </c>
    </row>
    <row r="65" spans="1:4" x14ac:dyDescent="0.35">
      <c r="A65" s="2">
        <v>0.7</v>
      </c>
      <c r="B65" s="2">
        <v>4.6116923619395997</v>
      </c>
      <c r="C65" s="2">
        <v>6.6319442771232504</v>
      </c>
      <c r="D65" s="2">
        <v>4769.75594401122</v>
      </c>
    </row>
    <row r="66" spans="1:4" x14ac:dyDescent="0.35">
      <c r="A66" s="2">
        <v>0.9</v>
      </c>
      <c r="B66" s="2">
        <v>3.6581043798414701</v>
      </c>
      <c r="C66" s="2">
        <v>2.9879017459542401</v>
      </c>
      <c r="D66" s="2">
        <v>5844.98636563541</v>
      </c>
    </row>
    <row r="67" spans="1:4" x14ac:dyDescent="0.35">
      <c r="A67" s="2">
        <v>0.88</v>
      </c>
      <c r="B67" s="2">
        <v>4.14170319798016</v>
      </c>
      <c r="C67" s="2">
        <v>4.3732468677499199</v>
      </c>
      <c r="D67" s="2">
        <v>5910.1882712470997</v>
      </c>
    </row>
    <row r="68" spans="1:4" x14ac:dyDescent="0.35">
      <c r="A68" s="2">
        <v>0.9</v>
      </c>
      <c r="B68" s="2">
        <v>4.0639498639972</v>
      </c>
      <c r="C68" s="2">
        <v>4.0914182916815403</v>
      </c>
      <c r="D68" s="2">
        <v>5971.5213960172896</v>
      </c>
    </row>
    <row r="69" spans="1:4" x14ac:dyDescent="0.35">
      <c r="A69" s="2">
        <v>0.94</v>
      </c>
      <c r="B69" s="2">
        <v>4.5471992515635504</v>
      </c>
      <c r="C69" s="2">
        <v>2.7820728952555198</v>
      </c>
      <c r="D69" s="2">
        <v>6042.61704252447</v>
      </c>
    </row>
    <row r="70" spans="1:4" x14ac:dyDescent="0.35">
      <c r="A70" s="2">
        <v>1</v>
      </c>
      <c r="B70" s="2">
        <v>3.99971536812606</v>
      </c>
      <c r="C70" s="2">
        <v>4.6988540425852703</v>
      </c>
      <c r="D70" s="2">
        <v>6081.5589028369104</v>
      </c>
    </row>
    <row r="71" spans="1:4" x14ac:dyDescent="0.35">
      <c r="A71" s="2">
        <v>0.22</v>
      </c>
      <c r="B71" s="2">
        <v>0.98691335034454997</v>
      </c>
      <c r="C71" s="2">
        <v>3.99185659900155</v>
      </c>
      <c r="D71" s="2">
        <v>103.689960702394</v>
      </c>
    </row>
    <row r="72" spans="1:4" x14ac:dyDescent="0.35">
      <c r="A72" s="2">
        <v>0.65</v>
      </c>
      <c r="B72" s="2">
        <v>2.3223513282557402</v>
      </c>
      <c r="C72" s="2">
        <v>2.86035405838388</v>
      </c>
      <c r="D72" s="2">
        <v>295.74991057150203</v>
      </c>
    </row>
    <row r="73" spans="1:4" x14ac:dyDescent="0.35">
      <c r="A73" s="2">
        <v>0.59</v>
      </c>
      <c r="B73" s="2">
        <v>2.0298735042937199</v>
      </c>
      <c r="C73" s="2">
        <v>3.1163627929216</v>
      </c>
      <c r="D73" s="2">
        <v>337.29132727878999</v>
      </c>
    </row>
    <row r="74" spans="1:4" x14ac:dyDescent="0.35">
      <c r="A74" s="2">
        <v>0.54</v>
      </c>
      <c r="B74" s="2">
        <v>1.72981781523008</v>
      </c>
      <c r="C74" s="2">
        <v>2.8902717403921598</v>
      </c>
      <c r="D74" s="2">
        <v>419.52025706621498</v>
      </c>
    </row>
    <row r="75" spans="1:4" x14ac:dyDescent="0.35">
      <c r="A75" s="2">
        <v>0.8</v>
      </c>
      <c r="B75" s="2">
        <v>1.91347514607405</v>
      </c>
      <c r="C75" s="2">
        <v>2.1377097937537002</v>
      </c>
      <c r="D75" s="2">
        <v>484.46160999374399</v>
      </c>
    </row>
    <row r="76" spans="1:4" x14ac:dyDescent="0.35">
      <c r="A76" s="2">
        <v>0.76</v>
      </c>
      <c r="B76" s="2">
        <v>1.88801253865941</v>
      </c>
      <c r="C76" s="2">
        <v>1.7536439153616099</v>
      </c>
      <c r="D76" s="2">
        <v>504.94351203559802</v>
      </c>
    </row>
    <row r="77" spans="1:4" x14ac:dyDescent="0.35">
      <c r="A77" s="2">
        <v>0.93599999999999905</v>
      </c>
      <c r="B77" s="2">
        <v>1.89186443375768</v>
      </c>
      <c r="C77" s="2">
        <v>2.1679628982151899</v>
      </c>
      <c r="D77" s="2">
        <v>1157.744473879</v>
      </c>
    </row>
    <row r="78" spans="1:4" x14ac:dyDescent="0.35">
      <c r="A78" s="2">
        <v>0.84</v>
      </c>
      <c r="B78" s="2">
        <v>1.6291286490643</v>
      </c>
      <c r="C78" s="2">
        <v>2.0534423202013099</v>
      </c>
      <c r="D78" s="2">
        <v>1305.2333269406699</v>
      </c>
    </row>
    <row r="79" spans="1:4" x14ac:dyDescent="0.35">
      <c r="A79" s="2">
        <v>0.99</v>
      </c>
      <c r="B79" s="2">
        <v>2.2695644105619999</v>
      </c>
      <c r="C79" s="2">
        <v>3.8865741906028299</v>
      </c>
      <c r="D79" s="2">
        <v>1384.72699695356</v>
      </c>
    </row>
    <row r="80" spans="1:4" x14ac:dyDescent="0.35">
      <c r="A80" s="2">
        <v>0.93</v>
      </c>
      <c r="B80" s="2">
        <v>2.6239940243663402</v>
      </c>
      <c r="C80" s="2">
        <v>2.53239006272829</v>
      </c>
      <c r="D80" s="2">
        <v>1561.1091399213999</v>
      </c>
    </row>
    <row r="81" spans="1:4" x14ac:dyDescent="0.35">
      <c r="A81" s="2">
        <v>0.96</v>
      </c>
      <c r="B81" s="2">
        <v>1.9912654327813499</v>
      </c>
      <c r="C81" s="2">
        <v>3.0216619822706301</v>
      </c>
      <c r="D81" s="2">
        <v>1607.5739556052299</v>
      </c>
    </row>
    <row r="82" spans="1:4" x14ac:dyDescent="0.35">
      <c r="A82" s="2">
        <v>0.74</v>
      </c>
      <c r="B82" s="2">
        <v>3.2045014443514899</v>
      </c>
      <c r="C82" s="2">
        <v>4.1574977990992696</v>
      </c>
      <c r="D82" s="2">
        <v>4325.7423114697503</v>
      </c>
    </row>
    <row r="83" spans="1:4" x14ac:dyDescent="0.35">
      <c r="A83" s="2">
        <v>0.72</v>
      </c>
      <c r="B83" s="2">
        <v>3.3335981723848001</v>
      </c>
      <c r="C83" s="2">
        <v>4.3384785913197703</v>
      </c>
      <c r="D83" s="2">
        <v>4422.7575539435202</v>
      </c>
    </row>
    <row r="84" spans="1:4" x14ac:dyDescent="0.35">
      <c r="A84" s="2">
        <v>1</v>
      </c>
      <c r="B84" s="2">
        <v>3.7357461928095401</v>
      </c>
      <c r="C84" s="2">
        <v>4.2425252941559997</v>
      </c>
      <c r="D84" s="2">
        <v>4501.7540535772196</v>
      </c>
    </row>
    <row r="85" spans="1:4" x14ac:dyDescent="0.35">
      <c r="A85" s="2">
        <v>1</v>
      </c>
      <c r="B85" s="2">
        <v>3.4031121956511101</v>
      </c>
      <c r="C85" s="2">
        <v>3.9642502100045802</v>
      </c>
      <c r="D85" s="2">
        <v>4630.9788961161203</v>
      </c>
    </row>
    <row r="86" spans="1:4" x14ac:dyDescent="0.35">
      <c r="A86" s="2">
        <v>0.99</v>
      </c>
      <c r="B86" s="2">
        <v>3.77371015468121</v>
      </c>
      <c r="C86" s="2">
        <v>5.1107222100054104</v>
      </c>
      <c r="D86" s="2">
        <v>4709.7346358230197</v>
      </c>
    </row>
    <row r="87" spans="1:4" x14ac:dyDescent="0.35">
      <c r="A87" s="2">
        <v>0.89999999999999902</v>
      </c>
      <c r="B87" s="2">
        <v>3.2177386562443</v>
      </c>
      <c r="C87" s="2">
        <v>4.5263939438690199</v>
      </c>
      <c r="D87" s="2">
        <v>5782.9897496826597</v>
      </c>
    </row>
    <row r="88" spans="1:4" x14ac:dyDescent="0.35">
      <c r="A88" s="2">
        <v>0.87999999999999901</v>
      </c>
      <c r="B88" s="2">
        <v>3.5026048059925601</v>
      </c>
      <c r="C88" s="2">
        <v>4.8950776904147704</v>
      </c>
      <c r="D88" s="2">
        <v>5848.09252463542</v>
      </c>
    </row>
    <row r="89" spans="1:4" x14ac:dyDescent="0.35">
      <c r="A89" s="2">
        <v>0.9</v>
      </c>
      <c r="B89" s="2">
        <v>3.389304317533</v>
      </c>
      <c r="C89" s="2">
        <v>3.45673098388606</v>
      </c>
      <c r="D89" s="2">
        <v>5909.4065694701403</v>
      </c>
    </row>
    <row r="90" spans="1:4" x14ac:dyDescent="0.35">
      <c r="A90" s="2">
        <v>0.94</v>
      </c>
      <c r="B90" s="2">
        <v>3.7096913817506398</v>
      </c>
      <c r="C90" s="2">
        <v>2.6128522196541799</v>
      </c>
      <c r="D90" s="2">
        <v>5980.4528665786302</v>
      </c>
    </row>
    <row r="91" spans="1:4" x14ac:dyDescent="0.35">
      <c r="A91" s="2">
        <v>1</v>
      </c>
      <c r="B91" s="2">
        <v>3.31885607050733</v>
      </c>
      <c r="C91" s="2">
        <v>4.5545127792463296</v>
      </c>
      <c r="D91" s="2">
        <v>6019.3086952711101</v>
      </c>
    </row>
    <row r="92" spans="1:4" x14ac:dyDescent="0.35">
      <c r="A92" s="2">
        <v>0.67</v>
      </c>
      <c r="B92" s="2">
        <v>3.1130209698054201</v>
      </c>
      <c r="C92" s="2">
        <v>6.1048767830469002</v>
      </c>
      <c r="D92" s="2">
        <v>217.65968117137299</v>
      </c>
    </row>
    <row r="93" spans="1:4" x14ac:dyDescent="0.35">
      <c r="A93" s="2">
        <v>0.5</v>
      </c>
      <c r="B93" s="2">
        <v>2.3946718685222699</v>
      </c>
      <c r="C93" s="2">
        <v>4.26845320771577</v>
      </c>
      <c r="D93" s="2">
        <v>246.681024051462</v>
      </c>
    </row>
    <row r="94" spans="1:4" x14ac:dyDescent="0.35">
      <c r="A94" s="2">
        <v>0.43</v>
      </c>
      <c r="B94" s="2">
        <v>1.7768855186950601</v>
      </c>
      <c r="C94" s="2">
        <v>2.7509496254281198</v>
      </c>
      <c r="D94" s="2">
        <v>326.20211483748301</v>
      </c>
    </row>
    <row r="95" spans="1:4" x14ac:dyDescent="0.35">
      <c r="A95" s="2">
        <v>0.66</v>
      </c>
      <c r="B95" s="2">
        <v>2.0475426839881301</v>
      </c>
      <c r="C95" s="2">
        <v>3.69980090009031</v>
      </c>
      <c r="D95" s="2">
        <v>392.20816280164399</v>
      </c>
    </row>
    <row r="96" spans="1:4" x14ac:dyDescent="0.35">
      <c r="A96" s="2">
        <v>0.64</v>
      </c>
      <c r="B96" s="2">
        <v>2.3168745644885398</v>
      </c>
      <c r="C96" s="2">
        <v>3.5609421479988801</v>
      </c>
      <c r="D96" s="2">
        <v>404.508350386355</v>
      </c>
    </row>
    <row r="97" spans="1:4" x14ac:dyDescent="0.35">
      <c r="A97" s="2">
        <v>0.81599999999999995</v>
      </c>
      <c r="B97" s="2">
        <v>1.9983868502165101</v>
      </c>
      <c r="C97" s="2">
        <v>4.5388469197502204</v>
      </c>
      <c r="D97" s="2">
        <v>1054.1407482854099</v>
      </c>
    </row>
    <row r="98" spans="1:4" x14ac:dyDescent="0.35">
      <c r="A98" s="2">
        <v>0.73</v>
      </c>
      <c r="B98" s="2">
        <v>2.2406647625771501</v>
      </c>
      <c r="C98" s="2">
        <v>4.9789453366010603</v>
      </c>
      <c r="D98" s="2">
        <v>1201.5599299693599</v>
      </c>
    </row>
    <row r="99" spans="1:4" x14ac:dyDescent="0.35">
      <c r="A99" s="2">
        <v>0.87</v>
      </c>
      <c r="B99" s="2">
        <v>2.50449548434755</v>
      </c>
      <c r="C99" s="2">
        <v>6.0513948273972096</v>
      </c>
      <c r="D99" s="2">
        <v>1282.04663808644</v>
      </c>
    </row>
    <row r="100" spans="1:4" x14ac:dyDescent="0.35">
      <c r="A100" s="2">
        <v>0.94</v>
      </c>
      <c r="B100" s="2">
        <v>3.50122047896261</v>
      </c>
      <c r="C100" s="2">
        <v>5.6842683485052801</v>
      </c>
      <c r="D100" s="2">
        <v>1457.91437874189</v>
      </c>
    </row>
    <row r="101" spans="1:4" x14ac:dyDescent="0.35">
      <c r="A101" s="2">
        <v>0.86</v>
      </c>
      <c r="B101" s="2">
        <v>2.32330541629389</v>
      </c>
      <c r="C101" s="2">
        <v>3.92170661342784</v>
      </c>
      <c r="D101" s="2">
        <v>1505.4329107225899</v>
      </c>
    </row>
    <row r="102" spans="1:4" x14ac:dyDescent="0.35">
      <c r="A102" s="2">
        <v>0.64</v>
      </c>
      <c r="B102" s="2">
        <v>3.6517682624549201</v>
      </c>
      <c r="C102" s="2">
        <v>4.2782646492863599</v>
      </c>
      <c r="D102" s="2">
        <v>4223.3819184653103</v>
      </c>
    </row>
    <row r="103" spans="1:4" x14ac:dyDescent="0.35">
      <c r="A103" s="2">
        <v>0.62</v>
      </c>
      <c r="B103" s="2">
        <v>3.88461915132457</v>
      </c>
      <c r="C103" s="2">
        <v>5.6069052722104198</v>
      </c>
      <c r="D103" s="2">
        <v>4320.1885421844199</v>
      </c>
    </row>
    <row r="104" spans="1:4" x14ac:dyDescent="0.35">
      <c r="A104" s="2">
        <v>0.9</v>
      </c>
      <c r="B104" s="2">
        <v>4.4675151257888999</v>
      </c>
      <c r="C104" s="2">
        <v>5.7475318191328597</v>
      </c>
      <c r="D104" s="2">
        <v>4399.0680155520104</v>
      </c>
    </row>
    <row r="105" spans="1:4" x14ac:dyDescent="0.35">
      <c r="A105" s="2">
        <v>0.88</v>
      </c>
      <c r="B105" s="2">
        <v>3.9849770618126201</v>
      </c>
      <c r="C105" s="2">
        <v>5.24894856905102</v>
      </c>
      <c r="D105" s="2">
        <v>4528.1175493549899</v>
      </c>
    </row>
    <row r="106" spans="1:4" x14ac:dyDescent="0.35">
      <c r="A106" s="2">
        <v>0.94</v>
      </c>
      <c r="B106" s="2">
        <v>4.4915626220844604</v>
      </c>
      <c r="C106" s="2">
        <v>7.61062142058472</v>
      </c>
      <c r="D106" s="2">
        <v>4606.8571009425596</v>
      </c>
    </row>
    <row r="107" spans="1:4" x14ac:dyDescent="0.35">
      <c r="A107" s="2">
        <v>0.8</v>
      </c>
      <c r="B107" s="2">
        <v>3.6105101277881602</v>
      </c>
      <c r="C107" s="2">
        <v>3.2068262383613102</v>
      </c>
      <c r="D107" s="2">
        <v>5679.2998598822096</v>
      </c>
    </row>
    <row r="108" spans="1:4" x14ac:dyDescent="0.35">
      <c r="A108" s="2">
        <v>0.78</v>
      </c>
      <c r="B108" s="2">
        <v>4.0526477195918797</v>
      </c>
      <c r="C108" s="2">
        <v>4.8517784488315403</v>
      </c>
      <c r="D108" s="2">
        <v>5744.4073988834098</v>
      </c>
    </row>
    <row r="109" spans="1:4" x14ac:dyDescent="0.35">
      <c r="A109" s="2">
        <v>0.8</v>
      </c>
      <c r="B109" s="2">
        <v>3.9591007541260401</v>
      </c>
      <c r="C109" s="2">
        <v>4.9880269304425502</v>
      </c>
      <c r="D109" s="2">
        <v>5805.7232774921404</v>
      </c>
    </row>
    <row r="110" spans="1:4" x14ac:dyDescent="0.35">
      <c r="A110" s="2">
        <v>0.84</v>
      </c>
      <c r="B110" s="2">
        <v>4.4045014567020901</v>
      </c>
      <c r="C110" s="2">
        <v>3.7208739636983399</v>
      </c>
      <c r="D110" s="2">
        <v>5876.7757737545699</v>
      </c>
    </row>
    <row r="111" spans="1:4" x14ac:dyDescent="0.35">
      <c r="A111" s="2">
        <v>0.9</v>
      </c>
      <c r="B111" s="2">
        <v>3.8851418691982502</v>
      </c>
      <c r="C111" s="2">
        <v>5.3855658318780302</v>
      </c>
      <c r="D111" s="2">
        <v>5915.6478502129303</v>
      </c>
    </row>
    <row r="112" spans="1:4" x14ac:dyDescent="0.35">
      <c r="A112" s="2">
        <v>0.67</v>
      </c>
      <c r="B112" s="2">
        <v>1.41857502053429</v>
      </c>
      <c r="C112" s="2">
        <v>2.7446360632860598</v>
      </c>
      <c r="D112" s="2">
        <v>66.956017077908697</v>
      </c>
    </row>
    <row r="113" spans="1:4" x14ac:dyDescent="0.35">
      <c r="A113" s="2">
        <v>0.63</v>
      </c>
      <c r="B113" s="2">
        <v>2.0962321010873399</v>
      </c>
      <c r="C113" s="2">
        <v>3.8491379786059201</v>
      </c>
      <c r="D113" s="2">
        <v>142.30640493426</v>
      </c>
    </row>
    <row r="114" spans="1:4" x14ac:dyDescent="0.35">
      <c r="A114" s="2">
        <v>0.65</v>
      </c>
      <c r="B114" s="2">
        <v>1.93613933123017</v>
      </c>
      <c r="C114" s="2">
        <v>2.67464254075337</v>
      </c>
      <c r="D114" s="2">
        <v>199.46157806325101</v>
      </c>
    </row>
    <row r="115" spans="1:4" x14ac:dyDescent="0.35">
      <c r="A115" s="2">
        <v>0.64</v>
      </c>
      <c r="B115" s="2">
        <v>1.2921775031679099</v>
      </c>
      <c r="C115" s="2">
        <v>2.9132126921183099</v>
      </c>
      <c r="D115" s="2">
        <v>252.76568091086301</v>
      </c>
    </row>
    <row r="116" spans="1:4" x14ac:dyDescent="0.35">
      <c r="A116" s="2">
        <v>0.746</v>
      </c>
      <c r="B116" s="2">
        <v>2.0512916121189</v>
      </c>
      <c r="C116" s="2">
        <v>2.17236453529785</v>
      </c>
      <c r="D116" s="2">
        <v>919.60544499836897</v>
      </c>
    </row>
    <row r="117" spans="1:4" x14ac:dyDescent="0.35">
      <c r="A117" s="2">
        <v>0.69</v>
      </c>
      <c r="B117" s="2">
        <v>1.19516207441194</v>
      </c>
      <c r="C117" s="2">
        <v>1.8165477849410301</v>
      </c>
      <c r="D117" s="2">
        <v>1069.4749225968401</v>
      </c>
    </row>
    <row r="118" spans="1:4" x14ac:dyDescent="0.35">
      <c r="A118" s="2">
        <v>0.82999999999999896</v>
      </c>
      <c r="B118" s="2">
        <v>1.83616516532333</v>
      </c>
      <c r="C118" s="2">
        <v>2.6878737404163902</v>
      </c>
      <c r="D118" s="2">
        <v>1180.4313606345399</v>
      </c>
    </row>
    <row r="119" spans="1:4" x14ac:dyDescent="0.35">
      <c r="A119" s="2">
        <v>0.94</v>
      </c>
      <c r="B119" s="2">
        <v>1.1807367270703999</v>
      </c>
      <c r="C119" s="2">
        <v>1.50793087586399</v>
      </c>
      <c r="D119" s="2">
        <v>1345.79975565327</v>
      </c>
    </row>
    <row r="120" spans="1:4" x14ac:dyDescent="0.35">
      <c r="A120" s="2">
        <v>0.79</v>
      </c>
      <c r="B120" s="2">
        <v>1.6898004869093599</v>
      </c>
      <c r="C120" s="2">
        <v>3.5190594029747602</v>
      </c>
      <c r="D120" s="2">
        <v>1408.23790147514</v>
      </c>
    </row>
    <row r="121" spans="1:4" x14ac:dyDescent="0.35">
      <c r="A121" s="2">
        <v>0.66</v>
      </c>
      <c r="B121" s="2">
        <v>1.9580066054493599</v>
      </c>
      <c r="C121" s="2">
        <v>4.1923707292724899</v>
      </c>
      <c r="D121" s="2">
        <v>4114.6885635388899</v>
      </c>
    </row>
    <row r="122" spans="1:4" x14ac:dyDescent="0.35">
      <c r="A122" s="2">
        <v>0.6</v>
      </c>
      <c r="B122" s="2">
        <v>1.8829804265019701</v>
      </c>
      <c r="C122" s="2">
        <v>3.9637264827756402</v>
      </c>
      <c r="D122" s="2">
        <v>4208.8621570180103</v>
      </c>
    </row>
    <row r="123" spans="1:4" x14ac:dyDescent="0.35">
      <c r="A123" s="2">
        <v>0.83</v>
      </c>
      <c r="B123" s="2">
        <v>1.97654325263972</v>
      </c>
      <c r="C123" s="2">
        <v>3.41573112552424</v>
      </c>
      <c r="D123" s="2">
        <v>4286.1501079996196</v>
      </c>
    </row>
    <row r="124" spans="1:4" x14ac:dyDescent="0.35">
      <c r="A124" s="2">
        <v>0.81</v>
      </c>
      <c r="B124" s="2">
        <v>1.9582401662717499</v>
      </c>
      <c r="C124" s="2">
        <v>3.4450376833881502</v>
      </c>
      <c r="D124" s="2">
        <v>4412.6550195036498</v>
      </c>
    </row>
    <row r="125" spans="1:4" x14ac:dyDescent="0.35">
      <c r="A125" s="2">
        <v>0.94</v>
      </c>
      <c r="B125" s="2">
        <v>2.0933584339547102</v>
      </c>
      <c r="C125" s="2">
        <v>3.3676042085754601</v>
      </c>
      <c r="D125" s="2">
        <v>4491.0893562855499</v>
      </c>
    </row>
    <row r="126" spans="1:4" x14ac:dyDescent="0.35">
      <c r="A126" s="2">
        <v>0.73</v>
      </c>
      <c r="B126" s="2">
        <v>2.4456784219292</v>
      </c>
      <c r="C126" s="2">
        <v>5.1135440232980596</v>
      </c>
      <c r="D126" s="2">
        <v>5540.0867947685401</v>
      </c>
    </row>
    <row r="127" spans="1:4" x14ac:dyDescent="0.35">
      <c r="A127" s="2">
        <v>0.71</v>
      </c>
      <c r="B127" s="2">
        <v>2.3770716260755802</v>
      </c>
      <c r="C127" s="2">
        <v>4.7452268947625997</v>
      </c>
      <c r="D127" s="2">
        <v>5603.72066272342</v>
      </c>
    </row>
    <row r="128" spans="1:4" x14ac:dyDescent="0.35">
      <c r="A128" s="2">
        <v>0.73</v>
      </c>
      <c r="B128" s="2">
        <v>2.3927944297912802</v>
      </c>
      <c r="C128" s="2">
        <v>2.7736658180065099</v>
      </c>
      <c r="D128" s="2">
        <v>5664.7252548546303</v>
      </c>
    </row>
    <row r="129" spans="1:4" x14ac:dyDescent="0.35">
      <c r="A129" s="2">
        <v>0.77</v>
      </c>
      <c r="B129" s="2">
        <v>2.5199096170624999</v>
      </c>
      <c r="C129" s="2">
        <v>2.9832223035929202</v>
      </c>
      <c r="D129" s="2">
        <v>5735.0030211898802</v>
      </c>
    </row>
    <row r="130" spans="1:4" x14ac:dyDescent="0.35">
      <c r="A130" s="2">
        <v>0.83</v>
      </c>
      <c r="B130" s="2">
        <v>2.4842130933428099</v>
      </c>
      <c r="C130" s="2">
        <v>3.6792085024546499</v>
      </c>
      <c r="D130" s="2">
        <v>5772.5248843446998</v>
      </c>
    </row>
    <row r="131" spans="1:4" x14ac:dyDescent="0.35">
      <c r="A131" s="2">
        <v>0.156</v>
      </c>
      <c r="B131" s="2">
        <v>0.80754065806937603</v>
      </c>
      <c r="C131" s="2">
        <v>1.6066322312757999</v>
      </c>
      <c r="D131" s="2">
        <v>83.174995705303601</v>
      </c>
    </row>
    <row r="132" spans="1:4" x14ac:dyDescent="0.35">
      <c r="A132" s="2">
        <v>0.35</v>
      </c>
      <c r="B132" s="2">
        <v>0.58285468609542801</v>
      </c>
      <c r="C132" s="2">
        <v>1.31203368494537</v>
      </c>
      <c r="D132" s="2">
        <v>147.18109168836699</v>
      </c>
    </row>
    <row r="133" spans="1:4" x14ac:dyDescent="0.35">
      <c r="A133" s="2">
        <v>0.52999999999999903</v>
      </c>
      <c r="B133" s="2">
        <v>0.24620739383401799</v>
      </c>
      <c r="C133" s="2">
        <v>2.01039049473916</v>
      </c>
      <c r="D133" s="2">
        <v>187.31289106707001</v>
      </c>
    </row>
    <row r="134" spans="1:4" x14ac:dyDescent="0.35">
      <c r="A134" s="2">
        <v>0.49</v>
      </c>
      <c r="B134" s="2">
        <v>0.86230806254395098</v>
      </c>
      <c r="C134" s="2">
        <v>1.8664848770356901</v>
      </c>
      <c r="D134" s="2">
        <v>855.12348259066403</v>
      </c>
    </row>
    <row r="135" spans="1:4" x14ac:dyDescent="0.35">
      <c r="A135" s="2">
        <v>0.37999999999999901</v>
      </c>
      <c r="B135" s="2">
        <v>1.0150272208453599</v>
      </c>
      <c r="C135" s="2">
        <v>2.3594493027759298</v>
      </c>
      <c r="D135" s="2">
        <v>1004.91368156198</v>
      </c>
    </row>
    <row r="136" spans="1:4" x14ac:dyDescent="0.35">
      <c r="A136" s="2">
        <v>0.67</v>
      </c>
      <c r="B136" s="2">
        <v>0.76409257559134902</v>
      </c>
      <c r="C136" s="2">
        <v>2.5707253276056901</v>
      </c>
      <c r="D136" s="2">
        <v>1113.7765068696799</v>
      </c>
    </row>
    <row r="137" spans="1:4" x14ac:dyDescent="0.35">
      <c r="A137" s="2">
        <v>0.98599999999999999</v>
      </c>
      <c r="B137" s="2">
        <v>2.3170402495170102</v>
      </c>
      <c r="C137" s="2">
        <v>2.78171056821337</v>
      </c>
      <c r="D137" s="2">
        <v>1279.7377355446399</v>
      </c>
    </row>
    <row r="138" spans="1:4" x14ac:dyDescent="0.35">
      <c r="A138" s="2">
        <v>0.6</v>
      </c>
      <c r="B138" s="2">
        <v>0.89843374422033695</v>
      </c>
      <c r="C138" s="2">
        <v>2.0162626141845199</v>
      </c>
      <c r="D138" s="2">
        <v>1341.5135635869699</v>
      </c>
    </row>
    <row r="139" spans="1:4" x14ac:dyDescent="0.35">
      <c r="A139" s="2">
        <v>0.33</v>
      </c>
      <c r="B139" s="2">
        <v>1.8516827700632299</v>
      </c>
      <c r="C139" s="2">
        <v>1.9224510859488899</v>
      </c>
      <c r="D139" s="2">
        <v>4048.9121972357698</v>
      </c>
    </row>
    <row r="140" spans="1:4" x14ac:dyDescent="0.35">
      <c r="A140" s="2">
        <v>0.3</v>
      </c>
      <c r="B140" s="2">
        <v>2.12281913677977</v>
      </c>
      <c r="C140" s="2">
        <v>3.0850348004536898</v>
      </c>
      <c r="D140" s="2">
        <v>4143.2780876857196</v>
      </c>
    </row>
    <row r="141" spans="1:4" x14ac:dyDescent="0.35">
      <c r="A141" s="2">
        <v>0.55000000000000004</v>
      </c>
      <c r="B141" s="2">
        <v>2.8115599954766899</v>
      </c>
      <c r="C141" s="2">
        <v>2.5994278855287098</v>
      </c>
      <c r="D141" s="2">
        <v>4220.6911816409702</v>
      </c>
    </row>
    <row r="142" spans="1:4" x14ac:dyDescent="0.35">
      <c r="A142" s="2">
        <v>0.56000000000000005</v>
      </c>
      <c r="B142" s="2">
        <v>2.3104656689954801</v>
      </c>
      <c r="C142" s="2">
        <v>2.2311238618451901</v>
      </c>
      <c r="D142" s="2">
        <v>4347.4084399840203</v>
      </c>
    </row>
    <row r="143" spans="1:4" x14ac:dyDescent="0.35">
      <c r="A143" s="2">
        <v>0.92999999999999905</v>
      </c>
      <c r="B143" s="2">
        <v>2.8826564952916298</v>
      </c>
      <c r="C143" s="2">
        <v>4.0530109019272</v>
      </c>
      <c r="D143" s="2">
        <v>4425.8733051006802</v>
      </c>
    </row>
    <row r="144" spans="1:4" x14ac:dyDescent="0.35">
      <c r="A144" s="2">
        <v>0.44600000000000001</v>
      </c>
      <c r="B144" s="2">
        <v>2.3307819493713899</v>
      </c>
      <c r="C144" s="2">
        <v>2.4699917179906601</v>
      </c>
      <c r="D144" s="2">
        <v>5477.6013438426398</v>
      </c>
    </row>
    <row r="145" spans="1:4" x14ac:dyDescent="0.35">
      <c r="A145" s="2">
        <v>0.43</v>
      </c>
      <c r="B145" s="2">
        <v>2.6840595453262801</v>
      </c>
      <c r="C145" s="2">
        <v>2.5899316983693299</v>
      </c>
      <c r="D145" s="2">
        <v>5541.4578481483704</v>
      </c>
    </row>
    <row r="146" spans="1:4" x14ac:dyDescent="0.35">
      <c r="A146" s="2">
        <v>0.45</v>
      </c>
      <c r="B146" s="2">
        <v>2.74859698032237</v>
      </c>
      <c r="C146" s="2">
        <v>1.5027783679363</v>
      </c>
      <c r="D146" s="2">
        <v>5602.5129131464601</v>
      </c>
    </row>
    <row r="147" spans="1:4" x14ac:dyDescent="0.35">
      <c r="A147" s="2">
        <v>0.51600000000000001</v>
      </c>
      <c r="B147" s="2">
        <v>3.2230685662416998</v>
      </c>
      <c r="C147" s="2">
        <v>1.16849691247057</v>
      </c>
      <c r="D147" s="2">
        <v>5672.9131271714596</v>
      </c>
    </row>
    <row r="148" spans="1:4" x14ac:dyDescent="0.35">
      <c r="A148" s="2">
        <v>0.54600000000000004</v>
      </c>
      <c r="B148" s="2">
        <v>2.8359481626949998</v>
      </c>
      <c r="C148" s="2">
        <v>1.85189920099328</v>
      </c>
      <c r="D148" s="2">
        <v>5710.64842584704</v>
      </c>
    </row>
    <row r="149" spans="1:4" x14ac:dyDescent="0.35">
      <c r="A149" s="2">
        <v>0.4</v>
      </c>
      <c r="B149" s="2">
        <v>0.29414049655240498</v>
      </c>
      <c r="C149" s="2">
        <v>1.30667141757699</v>
      </c>
      <c r="D149" s="2">
        <v>66.230332017327797</v>
      </c>
    </row>
    <row r="150" spans="1:4" x14ac:dyDescent="0.35">
      <c r="A150" s="2">
        <v>0.52</v>
      </c>
      <c r="B150" s="2">
        <v>0.84706902321168998</v>
      </c>
      <c r="C150" s="2">
        <v>1.9138725491171</v>
      </c>
      <c r="D150" s="2">
        <v>115.628264139268</v>
      </c>
    </row>
    <row r="151" spans="1:4" x14ac:dyDescent="0.35">
      <c r="A151" s="2">
        <v>0.54</v>
      </c>
      <c r="B151" s="2">
        <v>0.51114869051371203</v>
      </c>
      <c r="C151" s="2">
        <v>2.41700059793216</v>
      </c>
      <c r="D151" s="2">
        <v>778.14109280720504</v>
      </c>
    </row>
    <row r="152" spans="1:4" x14ac:dyDescent="0.35">
      <c r="A152" s="2">
        <v>0.43</v>
      </c>
      <c r="B152" s="2">
        <v>1.29855342859451</v>
      </c>
      <c r="C152" s="2">
        <v>2.9251247459590002</v>
      </c>
      <c r="D152" s="2">
        <v>928.03736883571401</v>
      </c>
    </row>
    <row r="153" spans="1:4" x14ac:dyDescent="0.35">
      <c r="A153" s="2">
        <v>0.63</v>
      </c>
      <c r="B153" s="2">
        <v>0.920732390947688</v>
      </c>
      <c r="C153" s="2">
        <v>3.5432030386453701</v>
      </c>
      <c r="D153" s="2">
        <v>1043.99819749375</v>
      </c>
    </row>
    <row r="154" spans="1:4" x14ac:dyDescent="0.35">
      <c r="A154" s="2">
        <v>0.96</v>
      </c>
      <c r="B154" s="2">
        <v>2.83521232751152</v>
      </c>
      <c r="C154" s="2">
        <v>3.4665532357218098</v>
      </c>
      <c r="D154" s="2">
        <v>1206.76611032661</v>
      </c>
    </row>
    <row r="155" spans="1:4" x14ac:dyDescent="0.35">
      <c r="A155" s="2">
        <v>0.6</v>
      </c>
      <c r="B155" s="2">
        <v>1.0148283794047599</v>
      </c>
      <c r="C155" s="2">
        <v>1.7946375232868601</v>
      </c>
      <c r="D155" s="2">
        <v>1272.1505701932099</v>
      </c>
    </row>
    <row r="156" spans="1:4" x14ac:dyDescent="0.35">
      <c r="A156" s="2">
        <v>0.38</v>
      </c>
      <c r="B156" s="2">
        <v>2.2915530190896098</v>
      </c>
      <c r="C156" s="2">
        <v>1.9549037072906701</v>
      </c>
      <c r="D156" s="2">
        <v>3974.6670894047102</v>
      </c>
    </row>
    <row r="157" spans="1:4" x14ac:dyDescent="0.35">
      <c r="A157" s="2">
        <v>0.32</v>
      </c>
      <c r="B157" s="2">
        <v>2.6274388298878599</v>
      </c>
      <c r="C157" s="2">
        <v>3.53577892355877</v>
      </c>
      <c r="D157" s="2">
        <v>4068.4746708624798</v>
      </c>
    </row>
    <row r="158" spans="1:4" x14ac:dyDescent="0.35">
      <c r="A158" s="2">
        <v>0.6</v>
      </c>
      <c r="B158" s="2">
        <v>3.40698417198898</v>
      </c>
      <c r="C158" s="2">
        <v>3.31217989049015</v>
      </c>
      <c r="D158" s="2">
        <v>4145.5533463792799</v>
      </c>
    </row>
    <row r="159" spans="1:4" x14ac:dyDescent="0.35">
      <c r="A159" s="2">
        <v>0.6</v>
      </c>
      <c r="B159" s="2">
        <v>2.8060744086502498</v>
      </c>
      <c r="C159" s="2">
        <v>2.8492010130046301</v>
      </c>
      <c r="D159" s="2">
        <v>4271.7473841718602</v>
      </c>
    </row>
    <row r="160" spans="1:4" x14ac:dyDescent="0.35">
      <c r="A160" s="2">
        <v>0.90400000000000003</v>
      </c>
      <c r="B160" s="2">
        <v>3.4522319084571</v>
      </c>
      <c r="C160" s="2">
        <v>5.1610238575249703</v>
      </c>
      <c r="D160" s="2">
        <v>4350.1400281023198</v>
      </c>
    </row>
    <row r="161" spans="1:4" x14ac:dyDescent="0.35">
      <c r="A161" s="2">
        <v>0.496</v>
      </c>
      <c r="B161" s="2">
        <v>2.5622301422787399</v>
      </c>
      <c r="C161" s="2">
        <v>1.6399104568570899</v>
      </c>
      <c r="D161" s="2">
        <v>5397.7808545767102</v>
      </c>
    </row>
    <row r="162" spans="1:4" x14ac:dyDescent="0.35">
      <c r="A162" s="2">
        <v>0.48</v>
      </c>
      <c r="B162" s="2">
        <v>3.0597368743550399</v>
      </c>
      <c r="C162" s="2">
        <v>2.7012238294170499</v>
      </c>
      <c r="D162" s="2">
        <v>5461.4241543796397</v>
      </c>
    </row>
    <row r="163" spans="1:4" x14ac:dyDescent="0.35">
      <c r="A163" s="2">
        <v>0.5</v>
      </c>
      <c r="B163" s="2">
        <v>3.08897591804699</v>
      </c>
      <c r="C163" s="2">
        <v>2.4106435964699502</v>
      </c>
      <c r="D163" s="2">
        <v>5522.4325480767402</v>
      </c>
    </row>
    <row r="164" spans="1:4" x14ac:dyDescent="0.35">
      <c r="A164" s="2">
        <v>0.53600000000000003</v>
      </c>
      <c r="B164" s="2">
        <v>3.6441538212095401</v>
      </c>
      <c r="C164" s="2">
        <v>1.22282109930826</v>
      </c>
      <c r="D164" s="2">
        <v>5592.7219022899499</v>
      </c>
    </row>
    <row r="165" spans="1:4" x14ac:dyDescent="0.35">
      <c r="A165" s="2">
        <v>0.59599999999999997</v>
      </c>
      <c r="B165" s="2">
        <v>3.127858771858</v>
      </c>
      <c r="C165" s="2">
        <v>2.8094403228790199</v>
      </c>
      <c r="D165" s="2">
        <v>5630.2717153046297</v>
      </c>
    </row>
    <row r="166" spans="1:4" x14ac:dyDescent="0.35">
      <c r="A166" s="2">
        <v>0.59</v>
      </c>
      <c r="B166" s="2">
        <v>0.647357070432939</v>
      </c>
      <c r="C166" s="2">
        <v>1.6681037115913</v>
      </c>
      <c r="D166" s="2">
        <v>100.06676707842</v>
      </c>
    </row>
    <row r="167" spans="1:4" x14ac:dyDescent="0.35">
      <c r="A167" s="2">
        <v>0.376</v>
      </c>
      <c r="B167" s="2">
        <v>0.42643785383482302</v>
      </c>
      <c r="C167" s="2">
        <v>1.75261110127651</v>
      </c>
      <c r="D167" s="2">
        <v>731.35970358603095</v>
      </c>
    </row>
    <row r="168" spans="1:4" x14ac:dyDescent="0.35">
      <c r="A168" s="2">
        <v>0.28000000000000003</v>
      </c>
      <c r="B168" s="2">
        <v>1.1946542430276399</v>
      </c>
      <c r="C168" s="2">
        <v>2.02034133604085</v>
      </c>
      <c r="D168" s="2">
        <v>881.03302235376202</v>
      </c>
    </row>
    <row r="169" spans="1:4" x14ac:dyDescent="0.35">
      <c r="A169" s="2">
        <v>0.68</v>
      </c>
      <c r="B169" s="2">
        <v>0.673547231785252</v>
      </c>
      <c r="C169" s="2">
        <v>2.89270087909913</v>
      </c>
      <c r="D169" s="2">
        <v>1006.61469190663</v>
      </c>
    </row>
    <row r="170" spans="1:4" x14ac:dyDescent="0.35">
      <c r="A170" s="2">
        <v>0.98</v>
      </c>
      <c r="B170" s="2">
        <v>2.7002607287539702</v>
      </c>
      <c r="C170" s="2">
        <v>2.2020536510386099</v>
      </c>
      <c r="D170" s="2">
        <v>1164.8783898773399</v>
      </c>
    </row>
    <row r="171" spans="1:4" x14ac:dyDescent="0.35">
      <c r="A171" s="2">
        <v>0.6</v>
      </c>
      <c r="B171" s="2">
        <v>0.84554342996598197</v>
      </c>
      <c r="C171" s="2">
        <v>1.82004611341575</v>
      </c>
      <c r="D171" s="2">
        <v>1234.81184293618</v>
      </c>
    </row>
    <row r="172" spans="1:4" x14ac:dyDescent="0.35">
      <c r="A172" s="2">
        <v>0.26</v>
      </c>
      <c r="B172" s="2">
        <v>2.04397914372537</v>
      </c>
      <c r="C172" s="2">
        <v>2.40956024252809</v>
      </c>
      <c r="D172" s="2">
        <v>3929.7881231781698</v>
      </c>
    </row>
    <row r="173" spans="1:4" x14ac:dyDescent="0.35">
      <c r="A173" s="2">
        <v>0.4</v>
      </c>
      <c r="B173" s="2">
        <v>2.3877413852071698</v>
      </c>
      <c r="C173" s="2">
        <v>3.4371761229656599</v>
      </c>
      <c r="D173" s="2">
        <v>4022.8417430292402</v>
      </c>
    </row>
    <row r="174" spans="1:4" x14ac:dyDescent="0.35">
      <c r="A174" s="2">
        <v>0.45999999999999902</v>
      </c>
      <c r="B174" s="2">
        <v>3.1864293965209098</v>
      </c>
      <c r="C174" s="2">
        <v>2.96603814149793</v>
      </c>
      <c r="D174" s="2">
        <v>4099.4610515799604</v>
      </c>
    </row>
    <row r="175" spans="1:4" x14ac:dyDescent="0.35">
      <c r="A175" s="2">
        <v>0.54</v>
      </c>
      <c r="B175" s="2">
        <v>2.5768205596250202</v>
      </c>
      <c r="C175" s="2">
        <v>2.6663453191039199</v>
      </c>
      <c r="D175" s="2">
        <v>4224.9275098821499</v>
      </c>
    </row>
    <row r="176" spans="1:4" x14ac:dyDescent="0.35">
      <c r="A176" s="2">
        <v>0.94</v>
      </c>
      <c r="B176" s="2">
        <v>3.2346334782374702</v>
      </c>
      <c r="C176" s="2">
        <v>4.4578539400008896</v>
      </c>
      <c r="D176" s="2">
        <v>4303.2126547296302</v>
      </c>
    </row>
    <row r="177" spans="1:4" x14ac:dyDescent="0.35">
      <c r="A177" s="2">
        <v>0.36</v>
      </c>
      <c r="B177" s="2">
        <v>2.3778840176410099</v>
      </c>
      <c r="C177" s="2">
        <v>2.72815377812277</v>
      </c>
      <c r="D177" s="2">
        <v>5344.6024271490796</v>
      </c>
    </row>
    <row r="178" spans="1:4" x14ac:dyDescent="0.35">
      <c r="A178" s="2">
        <v>0.34</v>
      </c>
      <c r="B178" s="2">
        <v>2.8630512574196199</v>
      </c>
      <c r="C178" s="2">
        <v>3.1626582282375999</v>
      </c>
      <c r="D178" s="2">
        <v>5407.8751893210901</v>
      </c>
    </row>
    <row r="179" spans="1:4" x14ac:dyDescent="0.35">
      <c r="A179" s="2">
        <v>0.36</v>
      </c>
      <c r="B179" s="2">
        <v>2.9129892710620702</v>
      </c>
      <c r="C179" s="2">
        <v>2.0166419006285699</v>
      </c>
      <c r="D179" s="2">
        <v>5468.7996584189304</v>
      </c>
    </row>
    <row r="180" spans="1:4" x14ac:dyDescent="0.35">
      <c r="A180" s="2">
        <v>0.52</v>
      </c>
      <c r="B180" s="2">
        <v>3.4722424145863902</v>
      </c>
      <c r="C180" s="2">
        <v>1.0596221125352701</v>
      </c>
      <c r="D180" s="2">
        <v>5538.8912943058103</v>
      </c>
    </row>
    <row r="181" spans="1:4" x14ac:dyDescent="0.35">
      <c r="A181" s="2">
        <v>0.46</v>
      </c>
      <c r="B181" s="2">
        <v>2.97192768885433</v>
      </c>
      <c r="C181" s="2">
        <v>2.80208148275418</v>
      </c>
      <c r="D181" s="2">
        <v>5576.1085308832098</v>
      </c>
    </row>
    <row r="182" spans="1:4" x14ac:dyDescent="0.35">
      <c r="A182" s="2">
        <v>0.72</v>
      </c>
      <c r="B182" s="2">
        <v>0.82070231830107498</v>
      </c>
      <c r="C182" s="2">
        <v>1.1394591372341301</v>
      </c>
      <c r="D182" s="2">
        <v>667.96507720249599</v>
      </c>
    </row>
    <row r="183" spans="1:4" x14ac:dyDescent="0.35">
      <c r="A183" s="2">
        <v>0.57999999999999996</v>
      </c>
      <c r="B183" s="2">
        <v>0.76896476678880499</v>
      </c>
      <c r="C183" s="2">
        <v>1.6490605451226199</v>
      </c>
      <c r="D183" s="2">
        <v>817.70302819272899</v>
      </c>
    </row>
    <row r="184" spans="1:4" x14ac:dyDescent="0.35">
      <c r="A184" s="2">
        <v>0.76</v>
      </c>
      <c r="B184" s="2">
        <v>0.72850122729483702</v>
      </c>
      <c r="C184" s="2">
        <v>3.08902941877562</v>
      </c>
      <c r="D184" s="2">
        <v>928.97066798148103</v>
      </c>
    </row>
    <row r="185" spans="1:4" x14ac:dyDescent="0.35">
      <c r="A185" s="2">
        <v>1</v>
      </c>
      <c r="B185" s="2">
        <v>2.1132526769773299</v>
      </c>
      <c r="C185" s="2">
        <v>2.91596540906581</v>
      </c>
      <c r="D185" s="2">
        <v>1093.11500331199</v>
      </c>
    </row>
    <row r="186" spans="1:4" x14ac:dyDescent="0.35">
      <c r="A186" s="2">
        <v>0.74</v>
      </c>
      <c r="B186" s="2">
        <v>0.74042159276483799</v>
      </c>
      <c r="C186" s="2">
        <v>1.9153430838904</v>
      </c>
      <c r="D186" s="2">
        <v>1157.043775651</v>
      </c>
    </row>
    <row r="187" spans="1:4" x14ac:dyDescent="0.35">
      <c r="A187" s="2">
        <v>0.56000000000000005</v>
      </c>
      <c r="B187" s="2">
        <v>1.74748461133086</v>
      </c>
      <c r="C187" s="2">
        <v>2.8637074508187501</v>
      </c>
      <c r="D187" s="2">
        <v>3861.9252179792102</v>
      </c>
    </row>
    <row r="188" spans="1:4" x14ac:dyDescent="0.35">
      <c r="A188" s="2">
        <v>0.54</v>
      </c>
      <c r="B188" s="2">
        <v>1.9922124807627</v>
      </c>
      <c r="C188" s="2">
        <v>3.1019845744271102</v>
      </c>
      <c r="D188" s="2">
        <v>3956.1443821153798</v>
      </c>
    </row>
    <row r="189" spans="1:4" x14ac:dyDescent="0.35">
      <c r="A189" s="2">
        <v>0.78</v>
      </c>
      <c r="B189" s="2">
        <v>2.6575505527283299</v>
      </c>
      <c r="C189" s="2">
        <v>3.2225541717833601</v>
      </c>
      <c r="D189" s="2">
        <v>4033.4890773970801</v>
      </c>
    </row>
    <row r="190" spans="1:4" x14ac:dyDescent="0.35">
      <c r="A190" s="2">
        <v>0.78</v>
      </c>
      <c r="B190" s="2">
        <v>2.1649946627182701</v>
      </c>
      <c r="C190" s="2">
        <v>2.7773075235582598</v>
      </c>
      <c r="D190" s="2">
        <v>4160.1307860350998</v>
      </c>
    </row>
    <row r="191" spans="1:4" x14ac:dyDescent="0.35">
      <c r="A191" s="2">
        <v>0.94</v>
      </c>
      <c r="B191" s="2">
        <v>2.7236834367173701</v>
      </c>
      <c r="C191" s="2">
        <v>4.4240557588381897</v>
      </c>
      <c r="D191" s="2">
        <v>4238.5885711897699</v>
      </c>
    </row>
    <row r="192" spans="1:4" x14ac:dyDescent="0.35">
      <c r="A192" s="2">
        <v>0.68</v>
      </c>
      <c r="B192" s="2">
        <v>2.1781477830567701</v>
      </c>
      <c r="C192" s="2">
        <v>3.4110081466158602</v>
      </c>
      <c r="D192" s="2">
        <v>5291.7424104050597</v>
      </c>
    </row>
    <row r="193" spans="1:4" x14ac:dyDescent="0.35">
      <c r="A193" s="2">
        <v>0.66</v>
      </c>
      <c r="B193" s="2">
        <v>2.51328823328357</v>
      </c>
      <c r="C193" s="2">
        <v>3.5684120836850499</v>
      </c>
      <c r="D193" s="2">
        <v>5355.8237023422698</v>
      </c>
    </row>
    <row r="194" spans="1:4" x14ac:dyDescent="0.35">
      <c r="A194" s="2">
        <v>0.68</v>
      </c>
      <c r="B194" s="2">
        <v>2.5597371250687502</v>
      </c>
      <c r="C194" s="2">
        <v>2.3112486688291498</v>
      </c>
      <c r="D194" s="2">
        <v>5416.9302125255699</v>
      </c>
    </row>
    <row r="195" spans="1:4" x14ac:dyDescent="0.35">
      <c r="A195" s="2">
        <v>0.72</v>
      </c>
      <c r="B195" s="2">
        <v>3.0242645274679298</v>
      </c>
      <c r="C195" s="2">
        <v>1.41500499614272</v>
      </c>
      <c r="D195" s="2">
        <v>5487.4589384182</v>
      </c>
    </row>
    <row r="196" spans="1:4" x14ac:dyDescent="0.35">
      <c r="A196" s="2">
        <v>0.78</v>
      </c>
      <c r="B196" s="2">
        <v>2.6352207410472599</v>
      </c>
      <c r="C196" s="2">
        <v>3.2474936043330298</v>
      </c>
      <c r="D196" s="2">
        <v>5525.4270559220704</v>
      </c>
    </row>
    <row r="197" spans="1:4" x14ac:dyDescent="0.35">
      <c r="A197" s="2">
        <v>0.15</v>
      </c>
      <c r="B197" s="2">
        <v>1.09436003231472</v>
      </c>
      <c r="C197" s="2">
        <v>0.72090316627003503</v>
      </c>
      <c r="D197" s="2">
        <v>149.89659078346699</v>
      </c>
    </row>
    <row r="198" spans="1:4" x14ac:dyDescent="0.35">
      <c r="A198" s="2">
        <v>0.62</v>
      </c>
      <c r="B198" s="2">
        <v>0.53557080983209504</v>
      </c>
      <c r="C198" s="2">
        <v>2.0691727062354799</v>
      </c>
      <c r="D198" s="2">
        <v>315.48320772761201</v>
      </c>
    </row>
    <row r="199" spans="1:4" x14ac:dyDescent="0.35">
      <c r="A199" s="2">
        <v>0.996</v>
      </c>
      <c r="B199" s="2">
        <v>2.6394875194225702</v>
      </c>
      <c r="C199" s="2">
        <v>2.2086526290205799</v>
      </c>
      <c r="D199" s="2">
        <v>441.37789269413298</v>
      </c>
    </row>
    <row r="200" spans="1:4" x14ac:dyDescent="0.35">
      <c r="A200" s="2">
        <v>0.54</v>
      </c>
      <c r="B200" s="2">
        <v>0.59423997537143702</v>
      </c>
      <c r="C200" s="2">
        <v>1.6892301711803901</v>
      </c>
      <c r="D200" s="2">
        <v>530.38062607881898</v>
      </c>
    </row>
    <row r="201" spans="1:4" x14ac:dyDescent="0.35">
      <c r="A201" s="2">
        <v>0.25600000000000001</v>
      </c>
      <c r="B201" s="2">
        <v>1.86731071195181</v>
      </c>
      <c r="C201" s="2">
        <v>2.6841293205225401</v>
      </c>
      <c r="D201" s="2">
        <v>3198.5218242988799</v>
      </c>
    </row>
    <row r="202" spans="1:4" x14ac:dyDescent="0.35">
      <c r="A202" s="2">
        <v>0.52</v>
      </c>
      <c r="B202" s="2">
        <v>2.2264494069060401</v>
      </c>
      <c r="C202" s="2">
        <v>2.3994286052623002</v>
      </c>
      <c r="D202" s="2">
        <v>3291.4829203552799</v>
      </c>
    </row>
    <row r="203" spans="1:4" x14ac:dyDescent="0.35">
      <c r="A203" s="2">
        <v>0.34</v>
      </c>
      <c r="B203" s="2">
        <v>3.0739440163134901</v>
      </c>
      <c r="C203" s="2">
        <v>2.3571296146877501</v>
      </c>
      <c r="D203" s="2">
        <v>3368.1570054542499</v>
      </c>
    </row>
    <row r="204" spans="1:4" x14ac:dyDescent="0.35">
      <c r="A204" s="2">
        <v>0.48</v>
      </c>
      <c r="B204" s="2">
        <v>2.4028161199464702</v>
      </c>
      <c r="C204" s="2">
        <v>2.05929089191017</v>
      </c>
      <c r="D204" s="2">
        <v>3493.8866494823401</v>
      </c>
    </row>
    <row r="205" spans="1:4" x14ac:dyDescent="0.35">
      <c r="A205" s="2">
        <v>0.94</v>
      </c>
      <c r="B205" s="2">
        <v>3.1017278599586602</v>
      </c>
      <c r="C205" s="2">
        <v>3.3304456352120102</v>
      </c>
      <c r="D205" s="2">
        <v>3572.23015849275</v>
      </c>
    </row>
    <row r="206" spans="1:4" x14ac:dyDescent="0.35">
      <c r="A206" s="2">
        <v>0.3</v>
      </c>
      <c r="B206" s="2">
        <v>2.0743198420128999</v>
      </c>
      <c r="C206" s="2">
        <v>3.7522112170625301</v>
      </c>
      <c r="D206" s="2">
        <v>4626.2769505911501</v>
      </c>
    </row>
    <row r="207" spans="1:4" x14ac:dyDescent="0.35">
      <c r="A207" s="2">
        <v>0.26999999999999902</v>
      </c>
      <c r="B207" s="2">
        <v>2.6155329795413</v>
      </c>
      <c r="C207" s="2">
        <v>3.2929900415409699</v>
      </c>
      <c r="D207" s="2">
        <v>4690.9695732640403</v>
      </c>
    </row>
    <row r="208" spans="1:4" x14ac:dyDescent="0.35">
      <c r="A208" s="2">
        <v>0.3</v>
      </c>
      <c r="B208" s="2">
        <v>2.6506567692071301</v>
      </c>
      <c r="C208" s="2">
        <v>1.5562820100553001</v>
      </c>
      <c r="D208" s="2">
        <v>4752.2134714087897</v>
      </c>
    </row>
    <row r="209" spans="1:4" x14ac:dyDescent="0.35">
      <c r="A209" s="2">
        <v>0.42</v>
      </c>
      <c r="B209" s="2">
        <v>3.2552017182322701</v>
      </c>
      <c r="C209" s="2">
        <v>1.3524797916671401</v>
      </c>
      <c r="D209" s="2">
        <v>4823.0980871292304</v>
      </c>
    </row>
    <row r="210" spans="1:4" x14ac:dyDescent="0.35">
      <c r="A210" s="2">
        <v>0.34</v>
      </c>
      <c r="B210" s="2">
        <v>2.6905957407072498</v>
      </c>
      <c r="C210" s="2">
        <v>2.6967718994996499</v>
      </c>
      <c r="D210" s="2">
        <v>4861.7347350844302</v>
      </c>
    </row>
    <row r="211" spans="1:4" x14ac:dyDescent="0.35">
      <c r="A211" s="2">
        <v>0.62</v>
      </c>
      <c r="B211" s="2">
        <v>1.0494097370957001</v>
      </c>
      <c r="C211" s="2">
        <v>2.0546946025456001</v>
      </c>
      <c r="D211" s="2">
        <v>218.45525601727701</v>
      </c>
    </row>
    <row r="212" spans="1:4" x14ac:dyDescent="0.35">
      <c r="A212" s="2">
        <v>1</v>
      </c>
      <c r="B212" s="2">
        <v>1.5697130631595799</v>
      </c>
      <c r="C212" s="2">
        <v>1.73052808003537</v>
      </c>
      <c r="D212" s="2">
        <v>301.38728536727302</v>
      </c>
    </row>
    <row r="213" spans="1:4" x14ac:dyDescent="0.35">
      <c r="A213" s="2">
        <v>0.54</v>
      </c>
      <c r="B213" s="2">
        <v>0.69511300553499</v>
      </c>
      <c r="C213" s="2">
        <v>2.0814001461943699</v>
      </c>
      <c r="D213" s="2">
        <v>403.341890331012</v>
      </c>
    </row>
    <row r="214" spans="1:4" x14ac:dyDescent="0.35">
      <c r="A214" s="2">
        <v>0.23</v>
      </c>
      <c r="B214" s="2">
        <v>1.6106022823077499</v>
      </c>
      <c r="C214" s="2">
        <v>3.1889216438565402</v>
      </c>
      <c r="D214" s="2">
        <v>3049.0988818148498</v>
      </c>
    </row>
    <row r="215" spans="1:4" x14ac:dyDescent="0.35">
      <c r="A215" s="2">
        <v>0.42</v>
      </c>
      <c r="B215" s="2">
        <v>1.73612871159602</v>
      </c>
      <c r="C215" s="2">
        <v>2.6637308474764598</v>
      </c>
      <c r="D215" s="2">
        <v>3141.8522460025902</v>
      </c>
    </row>
    <row r="216" spans="1:4" x14ac:dyDescent="0.35">
      <c r="A216" s="2">
        <v>0.38</v>
      </c>
      <c r="B216" s="2">
        <v>2.2786338668649</v>
      </c>
      <c r="C216" s="2">
        <v>2.5073400493532301</v>
      </c>
      <c r="D216" s="2">
        <v>3218.4285838758401</v>
      </c>
    </row>
    <row r="217" spans="1:4" x14ac:dyDescent="0.35">
      <c r="A217" s="2">
        <v>0.49</v>
      </c>
      <c r="B217" s="2">
        <v>1.83816189168283</v>
      </c>
      <c r="C217" s="2">
        <v>2.37622689356433</v>
      </c>
      <c r="D217" s="2">
        <v>3344.0490399789601</v>
      </c>
    </row>
    <row r="218" spans="1:4" x14ac:dyDescent="0.35">
      <c r="A218" s="2">
        <v>0.94</v>
      </c>
      <c r="B218" s="2">
        <v>2.3210948132501601</v>
      </c>
      <c r="C218" s="2">
        <v>3.1513741155869801</v>
      </c>
      <c r="D218" s="2">
        <v>3422.3811581445302</v>
      </c>
    </row>
    <row r="219" spans="1:4" x14ac:dyDescent="0.35">
      <c r="A219" s="2">
        <v>0.3</v>
      </c>
      <c r="B219" s="2">
        <v>1.8117671392227499</v>
      </c>
      <c r="C219" s="2">
        <v>4.3043645940846904</v>
      </c>
      <c r="D219" s="2">
        <v>4477.9719361044599</v>
      </c>
    </row>
    <row r="220" spans="1:4" x14ac:dyDescent="0.35">
      <c r="A220" s="2">
        <v>0.249999999999999</v>
      </c>
      <c r="B220" s="2">
        <v>2.0618907293697202</v>
      </c>
      <c r="C220" s="2">
        <v>3.76554358043354</v>
      </c>
      <c r="D220" s="2">
        <v>4542.9074512831603</v>
      </c>
    </row>
    <row r="221" spans="1:4" x14ac:dyDescent="0.35">
      <c r="A221" s="2">
        <v>0.3</v>
      </c>
      <c r="B221" s="2">
        <v>2.0331550402047802</v>
      </c>
      <c r="C221" s="2">
        <v>1.9127493890301499</v>
      </c>
      <c r="D221" s="2">
        <v>4604.2024813303697</v>
      </c>
    </row>
    <row r="222" spans="1:4" x14ac:dyDescent="0.35">
      <c r="A222" s="2">
        <v>0.44</v>
      </c>
      <c r="B222" s="2">
        <v>2.45067092907105</v>
      </c>
      <c r="C222" s="2">
        <v>1.8693994992532299</v>
      </c>
      <c r="D222" s="2">
        <v>4675.2215000800898</v>
      </c>
    </row>
    <row r="223" spans="1:4" x14ac:dyDescent="0.35">
      <c r="A223" s="2">
        <v>0.38</v>
      </c>
      <c r="B223" s="2">
        <v>2.0560689666089398</v>
      </c>
      <c r="C223" s="2">
        <v>3.1273042424800801</v>
      </c>
      <c r="D223" s="2">
        <v>4714.1089027596599</v>
      </c>
    </row>
    <row r="224" spans="1:4" x14ac:dyDescent="0.35">
      <c r="A224" s="2">
        <v>0.69</v>
      </c>
      <c r="B224" s="2">
        <v>2.43144539462876</v>
      </c>
      <c r="C224" s="2">
        <v>2.4435088163885599</v>
      </c>
      <c r="D224" s="2">
        <v>185.869098817278</v>
      </c>
    </row>
    <row r="225" spans="1:4" x14ac:dyDescent="0.35">
      <c r="A225" s="2">
        <v>0.34</v>
      </c>
      <c r="B225" s="2">
        <v>0.43847876511871497</v>
      </c>
      <c r="C225" s="2">
        <v>2.2784911287004999</v>
      </c>
      <c r="D225" s="2">
        <v>228.24306553076099</v>
      </c>
    </row>
    <row r="226" spans="1:4" x14ac:dyDescent="0.35">
      <c r="A226" s="2">
        <v>0.68</v>
      </c>
      <c r="B226" s="2">
        <v>1.3943625617378901</v>
      </c>
      <c r="C226" s="2">
        <v>2.6015320531090902</v>
      </c>
      <c r="D226" s="2">
        <v>2941.60371980134</v>
      </c>
    </row>
    <row r="227" spans="1:4" x14ac:dyDescent="0.35">
      <c r="A227" s="2">
        <v>0.68</v>
      </c>
      <c r="B227" s="2">
        <v>1.77685219888462</v>
      </c>
      <c r="C227" s="2">
        <v>1.73723778093798</v>
      </c>
      <c r="D227" s="2">
        <v>3038.1546660189101</v>
      </c>
    </row>
    <row r="228" spans="1:4" x14ac:dyDescent="0.35">
      <c r="A228" s="2">
        <v>0.66</v>
      </c>
      <c r="B228" s="2">
        <v>2.6716110096048298</v>
      </c>
      <c r="C228" s="2">
        <v>1.0122517750826101</v>
      </c>
      <c r="D228" s="2">
        <v>3117.0380152508901</v>
      </c>
    </row>
    <row r="229" spans="1:4" x14ac:dyDescent="0.35">
      <c r="A229" s="2">
        <v>0.59</v>
      </c>
      <c r="B229" s="2">
        <v>1.97635566939081</v>
      </c>
      <c r="C229" s="2">
        <v>1.2451495337796601</v>
      </c>
      <c r="D229" s="2">
        <v>3246.3366363175901</v>
      </c>
    </row>
    <row r="230" spans="1:4" x14ac:dyDescent="0.35">
      <c r="A230" s="2">
        <v>0.91</v>
      </c>
      <c r="B230" s="2">
        <v>2.7036157299129902</v>
      </c>
      <c r="C230" s="2">
        <v>1.6672083516256</v>
      </c>
      <c r="D230" s="2">
        <v>3325.11510989404</v>
      </c>
    </row>
    <row r="231" spans="1:4" x14ac:dyDescent="0.35">
      <c r="A231" s="2">
        <v>0.68</v>
      </c>
      <c r="B231" s="2">
        <v>1.7477769000093499</v>
      </c>
      <c r="C231" s="2">
        <v>4.2970040817090398</v>
      </c>
      <c r="D231" s="2">
        <v>4414.9215953141702</v>
      </c>
    </row>
    <row r="232" spans="1:4" x14ac:dyDescent="0.35">
      <c r="A232" s="2">
        <v>0.68</v>
      </c>
      <c r="B232" s="2">
        <v>2.2576565150070298</v>
      </c>
      <c r="C232" s="2">
        <v>2.8274682996987401</v>
      </c>
      <c r="D232" s="2">
        <v>4482.0838020824904</v>
      </c>
    </row>
    <row r="233" spans="1:4" x14ac:dyDescent="0.35">
      <c r="A233" s="2">
        <v>0.68</v>
      </c>
      <c r="B233" s="2">
        <v>2.3387603713842098</v>
      </c>
      <c r="C233" s="2">
        <v>1.2545942866055899</v>
      </c>
      <c r="D233" s="2">
        <v>4543.7724225975799</v>
      </c>
    </row>
    <row r="234" spans="1:4" x14ac:dyDescent="0.35">
      <c r="A234" s="2">
        <v>0.68</v>
      </c>
      <c r="B234" s="2">
        <v>2.94905055623774</v>
      </c>
      <c r="C234" s="2">
        <v>2.4180215109688898</v>
      </c>
      <c r="D234" s="2">
        <v>4615.9063698618102</v>
      </c>
    </row>
    <row r="235" spans="1:4" x14ac:dyDescent="0.35">
      <c r="A235" s="2">
        <v>0.68</v>
      </c>
      <c r="B235" s="2">
        <v>2.4227305155730599</v>
      </c>
      <c r="C235" s="2">
        <v>2.0235324449149599</v>
      </c>
      <c r="D235" s="2">
        <v>4656.8850107042599</v>
      </c>
    </row>
    <row r="236" spans="1:4" x14ac:dyDescent="0.35">
      <c r="A236" s="2">
        <v>0.61</v>
      </c>
      <c r="B236" s="2">
        <v>2.1270354753276099</v>
      </c>
      <c r="C236" s="2">
        <v>2.9671432731308398</v>
      </c>
      <c r="D236" s="2">
        <v>124.52392431565499</v>
      </c>
    </row>
    <row r="237" spans="1:4" x14ac:dyDescent="0.35">
      <c r="A237" s="2">
        <v>0.96</v>
      </c>
      <c r="B237" s="2">
        <v>2.0380367304078799</v>
      </c>
      <c r="C237" s="2">
        <v>3.7860426958743898</v>
      </c>
      <c r="D237" s="2">
        <v>2769.6160525003402</v>
      </c>
    </row>
    <row r="238" spans="1:4" x14ac:dyDescent="0.35">
      <c r="A238" s="2">
        <v>1</v>
      </c>
      <c r="B238" s="2">
        <v>1.7449626377304901</v>
      </c>
      <c r="C238" s="2">
        <v>3.7468502372844901</v>
      </c>
      <c r="D238" s="2">
        <v>2864.7802706286502</v>
      </c>
    </row>
    <row r="239" spans="1:4" x14ac:dyDescent="0.35">
      <c r="A239" s="2">
        <v>0.99</v>
      </c>
      <c r="B239" s="2">
        <v>1.3862211373920501</v>
      </c>
      <c r="C239" s="2">
        <v>3.04125674879602</v>
      </c>
      <c r="D239" s="2">
        <v>2942.8722296389401</v>
      </c>
    </row>
    <row r="240" spans="1:4" x14ac:dyDescent="0.35">
      <c r="A240" s="2">
        <v>0.96</v>
      </c>
      <c r="B240" s="2">
        <v>1.6658450311278299</v>
      </c>
      <c r="C240" s="2">
        <v>3.1318127084755898</v>
      </c>
      <c r="D240" s="2">
        <v>3070.97290840188</v>
      </c>
    </row>
    <row r="241" spans="1:4" x14ac:dyDescent="0.35">
      <c r="A241" s="2">
        <v>0.8</v>
      </c>
      <c r="B241" s="2">
        <v>1.4589142978701799</v>
      </c>
      <c r="C241" s="2">
        <v>3.46956440420524</v>
      </c>
      <c r="D241" s="2">
        <v>3149.6348880710402</v>
      </c>
    </row>
    <row r="242" spans="1:4" x14ac:dyDescent="0.35">
      <c r="A242" s="2">
        <v>0.96</v>
      </c>
      <c r="B242" s="2">
        <v>2.20106609953999</v>
      </c>
      <c r="C242" s="2">
        <v>4.7314809696000104</v>
      </c>
      <c r="D242" s="2">
        <v>4231.6401342475501</v>
      </c>
    </row>
    <row r="243" spans="1:4" x14ac:dyDescent="0.35">
      <c r="A243" s="2">
        <v>1</v>
      </c>
      <c r="B243" s="2">
        <v>1.85600360150175</v>
      </c>
      <c r="C243" s="2">
        <v>4.3478841893795304</v>
      </c>
      <c r="D243" s="2">
        <v>4298.4842833747398</v>
      </c>
    </row>
    <row r="244" spans="1:4" x14ac:dyDescent="0.35">
      <c r="A244" s="2">
        <v>1</v>
      </c>
      <c r="B244" s="2">
        <v>1.75956269772819</v>
      </c>
      <c r="C244" s="2">
        <v>2.5830539633802299</v>
      </c>
      <c r="D244" s="2">
        <v>4360.1253432735202</v>
      </c>
    </row>
    <row r="245" spans="1:4" x14ac:dyDescent="0.35">
      <c r="A245" s="2">
        <v>0.95</v>
      </c>
      <c r="B245" s="2">
        <v>1.60267860184656</v>
      </c>
      <c r="C245" s="2">
        <v>2.66157384476631</v>
      </c>
      <c r="D245" s="2">
        <v>4432.1145061489296</v>
      </c>
    </row>
    <row r="246" spans="1:4" x14ac:dyDescent="0.35">
      <c r="A246" s="2">
        <v>0.94</v>
      </c>
      <c r="B246" s="2">
        <v>1.7835276428231399</v>
      </c>
      <c r="C246" s="2">
        <v>3.6166932487816901</v>
      </c>
      <c r="D246" s="2">
        <v>4472.8245913432302</v>
      </c>
    </row>
    <row r="247" spans="1:4" x14ac:dyDescent="0.35">
      <c r="A247" s="2">
        <v>0.6</v>
      </c>
      <c r="B247" s="2">
        <v>1.3594672347231</v>
      </c>
      <c r="C247" s="2">
        <v>1.47546344873004</v>
      </c>
      <c r="D247" s="2">
        <v>2718.2726556768298</v>
      </c>
    </row>
    <row r="248" spans="1:4" x14ac:dyDescent="0.35">
      <c r="A248" s="2">
        <v>0.6</v>
      </c>
      <c r="B248" s="2">
        <v>1.6688205163227301</v>
      </c>
      <c r="C248" s="2">
        <v>1.9369554271619001</v>
      </c>
      <c r="D248" s="2">
        <v>2815.7931719850098</v>
      </c>
    </row>
    <row r="249" spans="1:4" x14ac:dyDescent="0.35">
      <c r="A249" s="2">
        <v>0.62</v>
      </c>
      <c r="B249" s="2">
        <v>2.4913660341914698</v>
      </c>
      <c r="C249" s="2">
        <v>1.87260831760993</v>
      </c>
      <c r="D249" s="2">
        <v>2895.2870058970202</v>
      </c>
    </row>
    <row r="250" spans="1:4" x14ac:dyDescent="0.35">
      <c r="A250" s="2">
        <v>0.53</v>
      </c>
      <c r="B250" s="2">
        <v>1.83006354638574</v>
      </c>
      <c r="C250" s="2">
        <v>1.4719422751251099</v>
      </c>
      <c r="D250" s="2">
        <v>3025.6100321039198</v>
      </c>
    </row>
    <row r="251" spans="1:4" x14ac:dyDescent="0.35">
      <c r="A251" s="2">
        <v>0.94</v>
      </c>
      <c r="B251" s="2">
        <v>2.5143145071039101</v>
      </c>
      <c r="C251" s="2">
        <v>3.8088250296008401</v>
      </c>
      <c r="D251" s="2">
        <v>3104.4726024542902</v>
      </c>
    </row>
    <row r="252" spans="1:4" x14ac:dyDescent="0.35">
      <c r="A252" s="2">
        <v>0.6</v>
      </c>
      <c r="B252" s="2">
        <v>1.5726153067344799</v>
      </c>
      <c r="C252" s="2">
        <v>2.6892982164047901</v>
      </c>
      <c r="D252" s="2">
        <v>4206.8590331565001</v>
      </c>
    </row>
    <row r="253" spans="1:4" x14ac:dyDescent="0.35">
      <c r="A253" s="2">
        <v>0.6</v>
      </c>
      <c r="B253" s="2">
        <v>2.0462351463052402</v>
      </c>
      <c r="C253" s="2">
        <v>2.04721030496159</v>
      </c>
      <c r="D253" s="2">
        <v>4275.01155443062</v>
      </c>
    </row>
    <row r="254" spans="1:4" x14ac:dyDescent="0.35">
      <c r="A254" s="2">
        <v>0.6</v>
      </c>
      <c r="B254" s="2">
        <v>2.0793549976281001</v>
      </c>
      <c r="C254" s="2">
        <v>1.4091701964880301</v>
      </c>
      <c r="D254" s="2">
        <v>4336.8402889399404</v>
      </c>
    </row>
    <row r="255" spans="1:4" x14ac:dyDescent="0.35">
      <c r="A255" s="2">
        <v>0.6</v>
      </c>
      <c r="B255" s="2">
        <v>2.6669612893840702</v>
      </c>
      <c r="C255" s="2">
        <v>0.96364453795540295</v>
      </c>
      <c r="D255" s="2">
        <v>4409.4510895738904</v>
      </c>
    </row>
    <row r="256" spans="1:4" x14ac:dyDescent="0.35">
      <c r="A256" s="2">
        <v>0.64</v>
      </c>
      <c r="B256" s="2">
        <v>2.1300666714303702</v>
      </c>
      <c r="C256" s="2">
        <v>2.2131250888090999</v>
      </c>
      <c r="D256" s="2">
        <v>4451.4057336206397</v>
      </c>
    </row>
    <row r="257" spans="1:4" x14ac:dyDescent="0.35">
      <c r="A257" s="2">
        <v>0.36</v>
      </c>
      <c r="B257" s="2">
        <v>0.48968458123666198</v>
      </c>
      <c r="C257" s="2">
        <v>2.2718904049959701</v>
      </c>
      <c r="D257" s="2">
        <v>112.32416307658499</v>
      </c>
    </row>
    <row r="258" spans="1:4" x14ac:dyDescent="0.35">
      <c r="A258" s="2">
        <v>0.32</v>
      </c>
      <c r="B258" s="2">
        <v>1.55470661569389</v>
      </c>
      <c r="C258" s="2">
        <v>1.9849400469503</v>
      </c>
      <c r="D258" s="2">
        <v>198.361406323528</v>
      </c>
    </row>
    <row r="259" spans="1:4" x14ac:dyDescent="0.35">
      <c r="A259" s="2">
        <v>0.56000000000000005</v>
      </c>
      <c r="B259" s="2">
        <v>0.71320350468564697</v>
      </c>
      <c r="C259" s="2">
        <v>1.52519110361285</v>
      </c>
      <c r="D259" s="2">
        <v>339.68144247150099</v>
      </c>
    </row>
    <row r="260" spans="1:4" x14ac:dyDescent="0.35">
      <c r="A260" s="2">
        <v>0.94</v>
      </c>
      <c r="B260" s="2">
        <v>1.5476603680852301</v>
      </c>
      <c r="C260" s="2">
        <v>4.10062089224341</v>
      </c>
      <c r="D260" s="2">
        <v>414.37622535617697</v>
      </c>
    </row>
    <row r="261" spans="1:4" x14ac:dyDescent="0.35">
      <c r="A261" s="2">
        <v>0.24</v>
      </c>
      <c r="B261" s="2">
        <v>0.82068823586932804</v>
      </c>
      <c r="C261" s="2">
        <v>1.8870173949928499</v>
      </c>
      <c r="D261" s="2">
        <v>1661.02346899229</v>
      </c>
    </row>
    <row r="262" spans="1:4" x14ac:dyDescent="0.35">
      <c r="A262" s="2">
        <v>0.31</v>
      </c>
      <c r="B262" s="2">
        <v>1.0729228139968201</v>
      </c>
      <c r="C262" s="2">
        <v>0.78630122129299196</v>
      </c>
      <c r="D262" s="2">
        <v>1740.5504867980801</v>
      </c>
    </row>
    <row r="263" spans="1:4" x14ac:dyDescent="0.35">
      <c r="A263" s="2">
        <v>0.24</v>
      </c>
      <c r="B263" s="2">
        <v>1.2778776470356601</v>
      </c>
      <c r="C263" s="2">
        <v>1.58547402930231</v>
      </c>
      <c r="D263" s="2">
        <v>1800.4916884935401</v>
      </c>
    </row>
    <row r="264" spans="1:4" x14ac:dyDescent="0.35">
      <c r="A264" s="2">
        <v>0.48</v>
      </c>
      <c r="B264" s="2">
        <v>1.88592555519057</v>
      </c>
      <c r="C264" s="2">
        <v>1.63640349222654</v>
      </c>
      <c r="D264" s="2">
        <v>1875.9998178052999</v>
      </c>
    </row>
    <row r="265" spans="1:4" x14ac:dyDescent="0.35">
      <c r="A265" s="2">
        <v>0.33999999999999903</v>
      </c>
      <c r="B265" s="2">
        <v>1.4703333266551</v>
      </c>
      <c r="C265" s="2">
        <v>1.3700924462655899</v>
      </c>
      <c r="D265" s="2">
        <v>1930.5832296675801</v>
      </c>
    </row>
    <row r="266" spans="1:4" x14ac:dyDescent="0.35">
      <c r="A266" s="2">
        <v>0.57999999999999996</v>
      </c>
      <c r="B266" s="2">
        <v>1.0705841770184299</v>
      </c>
      <c r="C266" s="2">
        <v>1.2184642374413699</v>
      </c>
      <c r="D266" s="2">
        <v>86.298752216763503</v>
      </c>
    </row>
    <row r="267" spans="1:4" x14ac:dyDescent="0.35">
      <c r="A267" s="2">
        <v>0.48</v>
      </c>
      <c r="B267" s="2">
        <v>0.24552800989762499</v>
      </c>
      <c r="C267" s="2">
        <v>1.0566965063760201</v>
      </c>
      <c r="D267" s="2">
        <v>227.69581258035399</v>
      </c>
    </row>
    <row r="268" spans="1:4" x14ac:dyDescent="0.35">
      <c r="A268" s="2">
        <v>0.84</v>
      </c>
      <c r="B268" s="2">
        <v>1.0584057150441899</v>
      </c>
      <c r="C268" s="2">
        <v>2.5777545229827501</v>
      </c>
      <c r="D268" s="2">
        <v>303.38508783812699</v>
      </c>
    </row>
    <row r="269" spans="1:4" x14ac:dyDescent="0.35">
      <c r="A269" s="2">
        <v>0.48</v>
      </c>
      <c r="B269" s="2">
        <v>0.92073089872189395</v>
      </c>
      <c r="C269" s="2">
        <v>4.0527955824175397</v>
      </c>
      <c r="D269" s="2">
        <v>1548.85829695802</v>
      </c>
    </row>
    <row r="270" spans="1:4" x14ac:dyDescent="0.35">
      <c r="A270" s="2">
        <v>0.46</v>
      </c>
      <c r="B270" s="2">
        <v>0.77220106539536804</v>
      </c>
      <c r="C270" s="2">
        <v>2.2792096104517801</v>
      </c>
      <c r="D270" s="2">
        <v>1628.4546994329301</v>
      </c>
    </row>
    <row r="271" spans="1:4" x14ac:dyDescent="0.35">
      <c r="A271" s="2">
        <v>0.48</v>
      </c>
      <c r="B271" s="2">
        <v>0.988866959948558</v>
      </c>
      <c r="C271" s="2">
        <v>1.71989735847574</v>
      </c>
      <c r="D271" s="2">
        <v>1688.33275715482</v>
      </c>
    </row>
    <row r="272" spans="1:4" x14ac:dyDescent="0.35">
      <c r="A272" s="2">
        <v>0.52</v>
      </c>
      <c r="B272" s="2">
        <v>1.4654637668198101</v>
      </c>
      <c r="C272" s="2">
        <v>2.51862625195443</v>
      </c>
      <c r="D272" s="2">
        <v>1763.82455659519</v>
      </c>
    </row>
    <row r="273" spans="1:4" x14ac:dyDescent="0.35">
      <c r="A273" s="2">
        <v>0.57999999999999996</v>
      </c>
      <c r="B273" s="2">
        <v>1.21569625451432</v>
      </c>
      <c r="C273" s="2">
        <v>2.1756744287133301</v>
      </c>
      <c r="D273" s="2">
        <v>1818.50666996992</v>
      </c>
    </row>
    <row r="274" spans="1:4" x14ac:dyDescent="0.35">
      <c r="A274" s="2">
        <v>0.44</v>
      </c>
      <c r="B274" s="2">
        <v>0.89231968848893295</v>
      </c>
      <c r="C274" s="2">
        <v>0.65898295936923401</v>
      </c>
      <c r="D274" s="2">
        <v>141.40225577856</v>
      </c>
    </row>
    <row r="275" spans="1:4" x14ac:dyDescent="0.35">
      <c r="A275" s="2">
        <v>0.93999999999999895</v>
      </c>
      <c r="B275" s="2">
        <v>0.16329166688208299</v>
      </c>
      <c r="C275" s="2">
        <v>2.2490517129434102</v>
      </c>
      <c r="D275" s="2">
        <v>217.44253814232999</v>
      </c>
    </row>
    <row r="276" spans="1:4" x14ac:dyDescent="0.35">
      <c r="A276" s="2">
        <v>0.32</v>
      </c>
      <c r="B276" s="2">
        <v>1.7694968670850499</v>
      </c>
      <c r="C276" s="2">
        <v>3.7866375016513101</v>
      </c>
      <c r="D276" s="2">
        <v>1463.70671714685</v>
      </c>
    </row>
    <row r="277" spans="1:4" x14ac:dyDescent="0.35">
      <c r="A277" s="2">
        <v>0.43</v>
      </c>
      <c r="B277" s="2">
        <v>1.13684025213343</v>
      </c>
      <c r="C277" s="2">
        <v>2.0394025761429702</v>
      </c>
      <c r="D277" s="2">
        <v>1543.46094390433</v>
      </c>
    </row>
    <row r="278" spans="1:4" x14ac:dyDescent="0.35">
      <c r="A278" s="2">
        <v>0.32</v>
      </c>
      <c r="B278" s="2">
        <v>1.2108112065008501</v>
      </c>
      <c r="C278" s="2">
        <v>1.13250068356088</v>
      </c>
      <c r="D278" s="2">
        <v>1603.18881797428</v>
      </c>
    </row>
    <row r="279" spans="1:4" x14ac:dyDescent="0.35">
      <c r="A279" s="2">
        <v>0.54</v>
      </c>
      <c r="B279" s="2">
        <v>0.984215708847617</v>
      </c>
      <c r="C279" s="2">
        <v>2.2665180833460199</v>
      </c>
      <c r="D279" s="2">
        <v>1678.6364088642199</v>
      </c>
    </row>
    <row r="280" spans="1:4" x14ac:dyDescent="0.35">
      <c r="A280" s="2">
        <v>0.2</v>
      </c>
      <c r="B280" s="2">
        <v>1.39079690219412</v>
      </c>
      <c r="C280" s="2">
        <v>1.5774209827899</v>
      </c>
      <c r="D280" s="2">
        <v>1733.5436691325001</v>
      </c>
    </row>
    <row r="281" spans="1:4" x14ac:dyDescent="0.35">
      <c r="A281" s="2">
        <v>0.8</v>
      </c>
      <c r="B281" s="2">
        <v>0.85528539716904795</v>
      </c>
      <c r="C281" s="2">
        <v>2.6389393486557999</v>
      </c>
      <c r="D281" s="2">
        <v>78.956855941125198</v>
      </c>
    </row>
    <row r="282" spans="1:4" x14ac:dyDescent="0.35">
      <c r="A282" s="2">
        <v>0.55999999999999905</v>
      </c>
      <c r="B282" s="2">
        <v>0.94258973864803097</v>
      </c>
      <c r="C282" s="2">
        <v>3.3493875773886002</v>
      </c>
      <c r="D282" s="2">
        <v>1324.15632247864</v>
      </c>
    </row>
    <row r="283" spans="1:4" x14ac:dyDescent="0.35">
      <c r="A283" s="2">
        <v>0.56000000000000005</v>
      </c>
      <c r="B283" s="2">
        <v>0.59010239919353402</v>
      </c>
      <c r="C283" s="2">
        <v>1.7031858885382201</v>
      </c>
      <c r="D283" s="2">
        <v>1404.17077524301</v>
      </c>
    </row>
    <row r="284" spans="1:4" x14ac:dyDescent="0.35">
      <c r="A284" s="2">
        <v>0.56000000000000005</v>
      </c>
      <c r="B284" s="2">
        <v>0.80211977773821896</v>
      </c>
      <c r="C284" s="2">
        <v>0.82965919133265598</v>
      </c>
      <c r="D284" s="2">
        <v>1463.62511162843</v>
      </c>
    </row>
    <row r="285" spans="1:4" x14ac:dyDescent="0.35">
      <c r="A285" s="2">
        <v>0.56000000000000005</v>
      </c>
      <c r="B285" s="2">
        <v>1.2259114010924901</v>
      </c>
      <c r="C285" s="2">
        <v>1.8462059426567501</v>
      </c>
      <c r="D285" s="2">
        <v>1538.9841315097699</v>
      </c>
    </row>
    <row r="286" spans="1:4" x14ac:dyDescent="0.35">
      <c r="A286" s="2">
        <v>0.56000000000000005</v>
      </c>
      <c r="B286" s="2">
        <v>1.03966738567808</v>
      </c>
      <c r="C286" s="2">
        <v>1.34730963657875</v>
      </c>
      <c r="D286" s="2">
        <v>1594.27061048169</v>
      </c>
    </row>
    <row r="287" spans="1:4" x14ac:dyDescent="0.35">
      <c r="A287" s="2">
        <v>0.94</v>
      </c>
      <c r="B287" s="2">
        <v>1.6928927069945701</v>
      </c>
      <c r="C287" s="2">
        <v>5.8639561489786702</v>
      </c>
      <c r="D287" s="2">
        <v>1255.84826422843</v>
      </c>
    </row>
    <row r="288" spans="1:4" x14ac:dyDescent="0.35">
      <c r="A288" s="2">
        <v>0.93999999999999895</v>
      </c>
      <c r="B288" s="2">
        <v>1.0233355039453</v>
      </c>
      <c r="C288" s="2">
        <v>4.1392040599441504</v>
      </c>
      <c r="D288" s="2">
        <v>1336.2817152528301</v>
      </c>
    </row>
    <row r="289" spans="1:4" x14ac:dyDescent="0.35">
      <c r="A289" s="2">
        <v>0.94</v>
      </c>
      <c r="B289" s="2">
        <v>1.0918292582473701</v>
      </c>
      <c r="C289" s="2">
        <v>2.8007218554103201</v>
      </c>
      <c r="D289" s="2">
        <v>1395.20153210284</v>
      </c>
    </row>
    <row r="290" spans="1:4" x14ac:dyDescent="0.35">
      <c r="A290" s="2">
        <v>0.94</v>
      </c>
      <c r="B290" s="2">
        <v>0.85004695890166904</v>
      </c>
      <c r="C290" s="2">
        <v>3.9928244221400102</v>
      </c>
      <c r="D290" s="2">
        <v>1470.3536027646001</v>
      </c>
    </row>
    <row r="291" spans="1:4" x14ac:dyDescent="0.35">
      <c r="A291" s="2">
        <v>0.93999999999999895</v>
      </c>
      <c r="B291" s="2">
        <v>1.27126866846954</v>
      </c>
      <c r="C291" s="2">
        <v>3.2574261696861302</v>
      </c>
      <c r="D291" s="2">
        <v>1526.29890087277</v>
      </c>
    </row>
    <row r="292" spans="1:4" x14ac:dyDescent="0.35">
      <c r="A292" s="2">
        <v>0.31</v>
      </c>
      <c r="B292" s="2">
        <v>0.75693470158919296</v>
      </c>
      <c r="C292" s="2">
        <v>2.2825808913375498</v>
      </c>
      <c r="D292" s="2">
        <v>81.434427589494504</v>
      </c>
    </row>
    <row r="293" spans="1:4" x14ac:dyDescent="0.35">
      <c r="A293" s="2">
        <v>0.13</v>
      </c>
      <c r="B293" s="2">
        <v>0.85939050227169</v>
      </c>
      <c r="C293" s="2">
        <v>3.1302752560712399</v>
      </c>
      <c r="D293" s="2">
        <v>139.48229645272099</v>
      </c>
    </row>
    <row r="294" spans="1:4" x14ac:dyDescent="0.35">
      <c r="A294" s="2">
        <v>0.48</v>
      </c>
      <c r="B294" s="2">
        <v>1.6338367673455201</v>
      </c>
      <c r="C294" s="2">
        <v>2.43767996329652</v>
      </c>
      <c r="D294" s="2">
        <v>214.991614652284</v>
      </c>
    </row>
    <row r="295" spans="1:4" x14ac:dyDescent="0.35">
      <c r="A295" s="2">
        <v>0.22999999999999901</v>
      </c>
      <c r="B295" s="2">
        <v>0.95781207666504997</v>
      </c>
      <c r="C295" s="2">
        <v>2.85218373446871</v>
      </c>
      <c r="D295" s="2">
        <v>270.57363071723898</v>
      </c>
    </row>
    <row r="296" spans="1:4" x14ac:dyDescent="0.35">
      <c r="A296" s="2">
        <v>0.27999999999999903</v>
      </c>
      <c r="B296" s="2">
        <v>0.28989986681410101</v>
      </c>
      <c r="C296" s="2">
        <v>2.0222312375093598</v>
      </c>
      <c r="D296" s="2">
        <v>62.095499111780903</v>
      </c>
    </row>
    <row r="297" spans="1:4" x14ac:dyDescent="0.35">
      <c r="A297" s="2">
        <v>0.38</v>
      </c>
      <c r="B297" s="2">
        <v>0.93097116741136599</v>
      </c>
      <c r="C297" s="2">
        <v>2.36792877719297</v>
      </c>
      <c r="D297" s="2">
        <v>137.10516387541799</v>
      </c>
    </row>
    <row r="298" spans="1:4" x14ac:dyDescent="0.35">
      <c r="A298" s="2">
        <v>0.35999999999999899</v>
      </c>
      <c r="B298" s="2">
        <v>0.53680831612382796</v>
      </c>
      <c r="C298" s="2">
        <v>1.43321314205284</v>
      </c>
      <c r="D298" s="2">
        <v>190.10022545788399</v>
      </c>
    </row>
    <row r="299" spans="1:4" x14ac:dyDescent="0.35">
      <c r="A299" s="2">
        <v>0.52</v>
      </c>
      <c r="B299" s="2">
        <v>0.77994279862651295</v>
      </c>
      <c r="C299" s="2">
        <v>1.32617964099276</v>
      </c>
      <c r="D299" s="2">
        <v>75.658854435082006</v>
      </c>
    </row>
    <row r="300" spans="1:4" x14ac:dyDescent="0.35">
      <c r="A300" s="2">
        <v>0.2</v>
      </c>
      <c r="B300" s="2">
        <v>0.25463991337605701</v>
      </c>
      <c r="C300" s="2">
        <v>1.24803379757661</v>
      </c>
      <c r="D300" s="2">
        <v>131.976819195529</v>
      </c>
    </row>
    <row r="301" spans="1:4" x14ac:dyDescent="0.35">
      <c r="A301" s="2">
        <v>0.52</v>
      </c>
      <c r="B301" s="2">
        <v>0.79196077221326899</v>
      </c>
      <c r="C301" s="2">
        <v>2.1218331307801601</v>
      </c>
      <c r="D301" s="2">
        <v>61.178907982553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F3C75-8993-4AD3-A01A-9B4B8EC964F0}">
  <dimension ref="A1:M60"/>
  <sheetViews>
    <sheetView topLeftCell="A34" zoomScale="70" zoomScaleNormal="70" workbookViewId="0">
      <selection activeCell="R73" sqref="R73"/>
    </sheetView>
  </sheetViews>
  <sheetFormatPr defaultRowHeight="14.15" x14ac:dyDescent="0.35"/>
  <cols>
    <col min="1" max="1" width="11" style="2" customWidth="1"/>
    <col min="2" max="5" width="9.140625" style="2"/>
    <col min="6" max="6" width="12.2109375" style="2" customWidth="1"/>
    <col min="7" max="12" width="9.140625" style="2"/>
    <col min="13" max="13" width="13.85546875" style="2" customWidth="1"/>
    <col min="14" max="16384" width="9.140625" style="2"/>
  </cols>
  <sheetData>
    <row r="1" spans="1:13" s="1" customFormat="1" x14ac:dyDescent="0.35">
      <c r="A1" s="75" t="s">
        <v>724</v>
      </c>
      <c r="B1" s="75"/>
      <c r="C1" s="75"/>
      <c r="D1" s="75"/>
      <c r="E1" s="75"/>
      <c r="F1" s="75"/>
      <c r="H1" s="73" t="s">
        <v>728</v>
      </c>
      <c r="I1" s="73"/>
      <c r="J1" s="73"/>
      <c r="K1" s="73"/>
      <c r="L1" s="73"/>
      <c r="M1" s="73"/>
    </row>
    <row r="2" spans="1:13" s="1" customFormat="1" x14ac:dyDescent="0.35">
      <c r="A2" s="27" t="s">
        <v>668</v>
      </c>
      <c r="B2" s="27" t="s">
        <v>719</v>
      </c>
      <c r="C2" s="34" t="s">
        <v>720</v>
      </c>
      <c r="D2" s="27" t="s">
        <v>721</v>
      </c>
      <c r="E2" s="27" t="s">
        <v>722</v>
      </c>
      <c r="F2" s="27" t="s">
        <v>723</v>
      </c>
      <c r="H2" s="28" t="s">
        <v>668</v>
      </c>
      <c r="I2" s="28" t="s">
        <v>727</v>
      </c>
      <c r="J2" s="35" t="s">
        <v>720</v>
      </c>
      <c r="K2" s="28" t="s">
        <v>721</v>
      </c>
      <c r="L2" s="28" t="s">
        <v>722</v>
      </c>
      <c r="M2" s="28" t="s">
        <v>723</v>
      </c>
    </row>
    <row r="3" spans="1:13" x14ac:dyDescent="0.35">
      <c r="A3" s="2" t="s">
        <v>708</v>
      </c>
      <c r="B3" s="2" t="s">
        <v>162</v>
      </c>
      <c r="C3" s="2">
        <v>6.1729704221306303E-2</v>
      </c>
      <c r="D3" s="2">
        <v>0.25900000000000001</v>
      </c>
      <c r="E3" s="2" t="s">
        <v>709</v>
      </c>
      <c r="F3" s="2" t="s">
        <v>710</v>
      </c>
      <c r="H3" s="2" t="s">
        <v>708</v>
      </c>
      <c r="I3" s="2" t="s">
        <v>170</v>
      </c>
      <c r="J3" s="2">
        <v>-6.0955825226323999E-2</v>
      </c>
      <c r="K3" s="2">
        <v>0.61799999999999999</v>
      </c>
      <c r="L3" s="2" t="s">
        <v>709</v>
      </c>
      <c r="M3" s="2" t="s">
        <v>710</v>
      </c>
    </row>
    <row r="4" spans="1:13" x14ac:dyDescent="0.35">
      <c r="A4" s="2" t="s">
        <v>708</v>
      </c>
      <c r="B4" s="2" t="s">
        <v>163</v>
      </c>
      <c r="C4" s="2">
        <v>8.5530913603512504E-2</v>
      </c>
      <c r="D4" s="2">
        <v>7.4999999999999997E-2</v>
      </c>
      <c r="E4" s="2" t="s">
        <v>709</v>
      </c>
      <c r="F4" s="2" t="s">
        <v>710</v>
      </c>
      <c r="H4" s="2" t="s">
        <v>708</v>
      </c>
      <c r="I4" s="2" t="s">
        <v>171</v>
      </c>
      <c r="J4" s="2">
        <v>-0.111031567868625</v>
      </c>
      <c r="K4" s="2">
        <v>0.76100000000000001</v>
      </c>
      <c r="L4" s="2" t="s">
        <v>709</v>
      </c>
      <c r="M4" s="2" t="s">
        <v>710</v>
      </c>
    </row>
    <row r="5" spans="1:13" x14ac:dyDescent="0.35">
      <c r="A5" s="2" t="s">
        <v>708</v>
      </c>
      <c r="B5" s="2" t="s">
        <v>22</v>
      </c>
      <c r="C5" s="2">
        <v>6.1228253639996302E-2</v>
      </c>
      <c r="D5" s="2">
        <v>0.19500000000000001</v>
      </c>
      <c r="E5" s="2" t="s">
        <v>709</v>
      </c>
      <c r="F5" s="2" t="s">
        <v>710</v>
      </c>
      <c r="H5" s="2" t="s">
        <v>708</v>
      </c>
      <c r="I5" s="2" t="s">
        <v>105</v>
      </c>
      <c r="J5" s="2">
        <v>-2.0831097862304498E-2</v>
      </c>
      <c r="K5" s="2">
        <v>0.499</v>
      </c>
      <c r="L5" s="2" t="s">
        <v>709</v>
      </c>
      <c r="M5" s="2" t="s">
        <v>710</v>
      </c>
    </row>
    <row r="6" spans="1:13" x14ac:dyDescent="0.35">
      <c r="A6" s="2" t="s">
        <v>708</v>
      </c>
      <c r="B6" s="2" t="s">
        <v>164</v>
      </c>
      <c r="C6" s="2">
        <v>-0.19150789716949199</v>
      </c>
      <c r="D6" s="2">
        <v>0.93</v>
      </c>
      <c r="E6" s="2" t="s">
        <v>709</v>
      </c>
      <c r="F6" s="2" t="s">
        <v>710</v>
      </c>
      <c r="H6" s="2" t="s">
        <v>708</v>
      </c>
      <c r="I6" s="2" t="s">
        <v>172</v>
      </c>
      <c r="J6" s="2">
        <v>0.319470970147338</v>
      </c>
      <c r="K6" s="2">
        <v>3.2000000000000001E-2</v>
      </c>
      <c r="L6" s="2" t="s">
        <v>712</v>
      </c>
      <c r="M6" s="2" t="s">
        <v>716</v>
      </c>
    </row>
    <row r="7" spans="1:13" x14ac:dyDescent="0.35">
      <c r="A7" s="2" t="s">
        <v>708</v>
      </c>
      <c r="B7" s="2" t="s">
        <v>165</v>
      </c>
      <c r="C7" s="2">
        <v>9.4451864729793694E-2</v>
      </c>
      <c r="D7" s="2">
        <v>0.161</v>
      </c>
      <c r="E7" s="2" t="s">
        <v>709</v>
      </c>
      <c r="F7" s="2" t="s">
        <v>710</v>
      </c>
      <c r="H7" s="2" t="s">
        <v>708</v>
      </c>
      <c r="I7" s="2" t="s">
        <v>173</v>
      </c>
      <c r="J7" s="2">
        <v>0.261306389702543</v>
      </c>
      <c r="K7" s="2">
        <v>3.7999999999999999E-2</v>
      </c>
      <c r="L7" s="2" t="s">
        <v>715</v>
      </c>
      <c r="M7" s="2" t="s">
        <v>716</v>
      </c>
    </row>
    <row r="8" spans="1:13" x14ac:dyDescent="0.35">
      <c r="A8" s="2" t="s">
        <v>708</v>
      </c>
      <c r="B8" s="2" t="s">
        <v>166</v>
      </c>
      <c r="C8" s="2">
        <v>-5.9329553179661897E-2</v>
      </c>
      <c r="D8" s="2">
        <v>0.71</v>
      </c>
      <c r="E8" s="2" t="s">
        <v>709</v>
      </c>
      <c r="F8" s="2" t="s">
        <v>710</v>
      </c>
      <c r="H8" s="2" t="s">
        <v>708</v>
      </c>
      <c r="I8" s="2" t="s">
        <v>725</v>
      </c>
      <c r="J8" s="2">
        <v>4.0167620793468702E-2</v>
      </c>
      <c r="K8" s="2">
        <v>0.36499999999999999</v>
      </c>
      <c r="L8" s="2" t="s">
        <v>709</v>
      </c>
      <c r="M8" s="2" t="s">
        <v>710</v>
      </c>
    </row>
    <row r="9" spans="1:13" x14ac:dyDescent="0.35">
      <c r="A9" s="2" t="s">
        <v>708</v>
      </c>
      <c r="B9" s="2" t="s">
        <v>167</v>
      </c>
      <c r="C9" s="2">
        <v>-0.14063642640044</v>
      </c>
      <c r="D9" s="2">
        <v>0.82599999999999996</v>
      </c>
      <c r="E9" s="2" t="s">
        <v>709</v>
      </c>
      <c r="F9" s="2" t="s">
        <v>710</v>
      </c>
      <c r="H9" s="2" t="s">
        <v>708</v>
      </c>
      <c r="I9" s="2" t="s">
        <v>726</v>
      </c>
      <c r="J9" s="2">
        <v>-1.9878659797711801E-3</v>
      </c>
      <c r="K9" s="2">
        <v>0.48799999999999999</v>
      </c>
      <c r="L9" s="2" t="s">
        <v>709</v>
      </c>
      <c r="M9" s="2" t="s">
        <v>710</v>
      </c>
    </row>
    <row r="10" spans="1:13" x14ac:dyDescent="0.35">
      <c r="A10" s="2" t="s">
        <v>708</v>
      </c>
      <c r="B10" s="2" t="s">
        <v>37</v>
      </c>
      <c r="C10" s="2">
        <v>-5.5684158470114001E-2</v>
      </c>
      <c r="D10" s="2">
        <v>0.6</v>
      </c>
      <c r="E10" s="2" t="s">
        <v>709</v>
      </c>
      <c r="F10" s="2" t="s">
        <v>710</v>
      </c>
      <c r="H10" s="2" t="s">
        <v>708</v>
      </c>
      <c r="I10" s="2" t="s">
        <v>106</v>
      </c>
      <c r="J10" s="2">
        <v>-0.14700250467769299</v>
      </c>
      <c r="K10" s="2">
        <v>0.90100000000000002</v>
      </c>
      <c r="L10" s="2" t="s">
        <v>709</v>
      </c>
      <c r="M10" s="2" t="s">
        <v>710</v>
      </c>
    </row>
    <row r="11" spans="1:13" x14ac:dyDescent="0.35">
      <c r="A11" s="2" t="s">
        <v>708</v>
      </c>
      <c r="B11" s="2" t="s">
        <v>168</v>
      </c>
      <c r="C11" s="2">
        <v>-3.1291201168698601E-2</v>
      </c>
      <c r="D11" s="2">
        <v>0.50900000000000001</v>
      </c>
      <c r="E11" s="2" t="s">
        <v>709</v>
      </c>
      <c r="F11" s="2" t="s">
        <v>710</v>
      </c>
      <c r="H11" s="2" t="s">
        <v>708</v>
      </c>
      <c r="I11" s="2" t="s">
        <v>107</v>
      </c>
      <c r="J11" s="2">
        <v>1.3987172917633701E-2</v>
      </c>
      <c r="K11" s="2">
        <v>0.42</v>
      </c>
      <c r="L11" s="2" t="s">
        <v>709</v>
      </c>
      <c r="M11" s="2" t="s">
        <v>710</v>
      </c>
    </row>
    <row r="12" spans="1:13" x14ac:dyDescent="0.35">
      <c r="A12" s="2" t="s">
        <v>708</v>
      </c>
      <c r="B12" s="2" t="s">
        <v>169</v>
      </c>
      <c r="C12" s="2">
        <v>-4.4253602799884002E-2</v>
      </c>
      <c r="D12" s="2">
        <v>0.55900000000000005</v>
      </c>
      <c r="E12" s="2" t="s">
        <v>709</v>
      </c>
      <c r="F12" s="2" t="s">
        <v>710</v>
      </c>
      <c r="H12" s="2" t="s">
        <v>708</v>
      </c>
      <c r="I12" s="2" t="s">
        <v>110</v>
      </c>
      <c r="J12" s="2">
        <v>-9.4611534451953305E-2</v>
      </c>
      <c r="K12" s="2">
        <v>0.75800000000000001</v>
      </c>
      <c r="L12" s="2" t="s">
        <v>709</v>
      </c>
      <c r="M12" s="2" t="s">
        <v>710</v>
      </c>
    </row>
    <row r="13" spans="1:13" x14ac:dyDescent="0.35">
      <c r="A13" s="24" t="s">
        <v>711</v>
      </c>
      <c r="B13" s="24" t="s">
        <v>162</v>
      </c>
      <c r="C13" s="24">
        <v>4.8646060489067802E-3</v>
      </c>
      <c r="D13" s="24">
        <v>0.42199999999999999</v>
      </c>
      <c r="E13" s="24" t="s">
        <v>709</v>
      </c>
      <c r="F13" s="24" t="s">
        <v>710</v>
      </c>
      <c r="H13" s="2" t="s">
        <v>708</v>
      </c>
      <c r="I13" s="2" t="s">
        <v>109</v>
      </c>
      <c r="J13" s="2">
        <v>0.31575983960714998</v>
      </c>
      <c r="K13" s="2">
        <v>7.0000000000000001E-3</v>
      </c>
      <c r="L13" s="2" t="s">
        <v>712</v>
      </c>
      <c r="M13" s="2" t="s">
        <v>713</v>
      </c>
    </row>
    <row r="14" spans="1:13" x14ac:dyDescent="0.35">
      <c r="A14" s="24" t="s">
        <v>711</v>
      </c>
      <c r="B14" s="24" t="s">
        <v>163</v>
      </c>
      <c r="C14" s="24">
        <v>5.6476878213941303E-2</v>
      </c>
      <c r="D14" s="24">
        <v>0.154</v>
      </c>
      <c r="E14" s="24" t="s">
        <v>709</v>
      </c>
      <c r="F14" s="24" t="s">
        <v>710</v>
      </c>
      <c r="H14" s="2" t="s">
        <v>708</v>
      </c>
      <c r="I14" s="2" t="s">
        <v>108</v>
      </c>
      <c r="J14" s="2">
        <v>0.18986170807449901</v>
      </c>
      <c r="K14" s="2">
        <v>0.03</v>
      </c>
      <c r="L14" s="2" t="s">
        <v>709</v>
      </c>
      <c r="M14" s="2" t="s">
        <v>716</v>
      </c>
    </row>
    <row r="15" spans="1:13" x14ac:dyDescent="0.35">
      <c r="A15" s="24" t="s">
        <v>711</v>
      </c>
      <c r="B15" s="24" t="s">
        <v>22</v>
      </c>
      <c r="C15" s="24">
        <v>7.4695843548551105E-2</v>
      </c>
      <c r="D15" s="24">
        <v>0.14199999999999999</v>
      </c>
      <c r="E15" s="24" t="s">
        <v>709</v>
      </c>
      <c r="F15" s="24" t="s">
        <v>710</v>
      </c>
      <c r="H15" s="24" t="s">
        <v>711</v>
      </c>
      <c r="I15" s="24" t="s">
        <v>170</v>
      </c>
      <c r="J15" s="24">
        <v>0.32940523375941599</v>
      </c>
      <c r="K15" s="24">
        <v>3.3000000000000002E-2</v>
      </c>
      <c r="L15" s="24" t="s">
        <v>712</v>
      </c>
      <c r="M15" s="24" t="s">
        <v>716</v>
      </c>
    </row>
    <row r="16" spans="1:13" x14ac:dyDescent="0.35">
      <c r="A16" s="24" t="s">
        <v>711</v>
      </c>
      <c r="B16" s="24" t="s">
        <v>164</v>
      </c>
      <c r="C16" s="24">
        <v>0.46994284781629198</v>
      </c>
      <c r="D16" s="24">
        <v>5.0000000000000001E-3</v>
      </c>
      <c r="E16" s="24" t="s">
        <v>712</v>
      </c>
      <c r="F16" s="24" t="s">
        <v>713</v>
      </c>
      <c r="H16" s="24" t="s">
        <v>711</v>
      </c>
      <c r="I16" s="24" t="s">
        <v>171</v>
      </c>
      <c r="J16" s="24">
        <v>0.28661497906257699</v>
      </c>
      <c r="K16" s="24">
        <v>4.1000000000000002E-2</v>
      </c>
      <c r="L16" s="24" t="s">
        <v>715</v>
      </c>
      <c r="M16" s="24" t="s">
        <v>716</v>
      </c>
    </row>
    <row r="17" spans="1:13" x14ac:dyDescent="0.35">
      <c r="A17" s="24" t="s">
        <v>711</v>
      </c>
      <c r="B17" s="24" t="s">
        <v>165</v>
      </c>
      <c r="C17" s="24">
        <v>-0.10336210672910701</v>
      </c>
      <c r="D17" s="24">
        <v>0.871</v>
      </c>
      <c r="E17" s="24" t="s">
        <v>709</v>
      </c>
      <c r="F17" s="24" t="s">
        <v>710</v>
      </c>
      <c r="H17" s="24" t="s">
        <v>711</v>
      </c>
      <c r="I17" s="24" t="s">
        <v>105</v>
      </c>
      <c r="J17" s="24">
        <v>0.16450751117483201</v>
      </c>
      <c r="K17" s="24">
        <v>0.13800000000000001</v>
      </c>
      <c r="L17" s="24" t="s">
        <v>709</v>
      </c>
      <c r="M17" s="24" t="s">
        <v>710</v>
      </c>
    </row>
    <row r="18" spans="1:13" x14ac:dyDescent="0.35">
      <c r="A18" s="24" t="s">
        <v>711</v>
      </c>
      <c r="B18" s="24" t="s">
        <v>166</v>
      </c>
      <c r="C18" s="24">
        <v>9.7019230447013299E-2</v>
      </c>
      <c r="D18" s="24">
        <v>0.159</v>
      </c>
      <c r="E18" s="24" t="s">
        <v>709</v>
      </c>
      <c r="F18" s="24" t="s">
        <v>710</v>
      </c>
      <c r="H18" s="24" t="s">
        <v>711</v>
      </c>
      <c r="I18" s="24" t="s">
        <v>172</v>
      </c>
      <c r="J18" s="24">
        <v>2.5856972295615399E-2</v>
      </c>
      <c r="K18" s="24">
        <v>0.38</v>
      </c>
      <c r="L18" s="24" t="s">
        <v>709</v>
      </c>
      <c r="M18" s="24" t="s">
        <v>710</v>
      </c>
    </row>
    <row r="19" spans="1:13" x14ac:dyDescent="0.35">
      <c r="A19" s="24" t="s">
        <v>711</v>
      </c>
      <c r="B19" s="24" t="s">
        <v>167</v>
      </c>
      <c r="C19" s="24">
        <v>-1.0907194267911501E-2</v>
      </c>
      <c r="D19" s="24">
        <v>0.40400000000000003</v>
      </c>
      <c r="E19" s="24" t="s">
        <v>709</v>
      </c>
      <c r="F19" s="24" t="s">
        <v>710</v>
      </c>
      <c r="H19" s="24" t="s">
        <v>711</v>
      </c>
      <c r="I19" s="24" t="s">
        <v>173</v>
      </c>
      <c r="J19" s="24">
        <v>-3.1355273951850199E-2</v>
      </c>
      <c r="K19" s="24">
        <v>0.52700000000000002</v>
      </c>
      <c r="L19" s="24" t="s">
        <v>709</v>
      </c>
      <c r="M19" s="24" t="s">
        <v>710</v>
      </c>
    </row>
    <row r="20" spans="1:13" x14ac:dyDescent="0.35">
      <c r="A20" s="24" t="s">
        <v>711</v>
      </c>
      <c r="B20" s="24" t="s">
        <v>37</v>
      </c>
      <c r="C20" s="24">
        <v>0.14088433869577999</v>
      </c>
      <c r="D20" s="24">
        <v>0.122</v>
      </c>
      <c r="E20" s="24" t="s">
        <v>709</v>
      </c>
      <c r="F20" s="24" t="s">
        <v>710</v>
      </c>
      <c r="H20" s="24" t="s">
        <v>711</v>
      </c>
      <c r="I20" s="24" t="s">
        <v>725</v>
      </c>
      <c r="J20" s="24">
        <v>3.9075001376321902E-2</v>
      </c>
      <c r="K20" s="24">
        <v>0.38800000000000001</v>
      </c>
      <c r="L20" s="24" t="s">
        <v>709</v>
      </c>
      <c r="M20" s="24" t="s">
        <v>710</v>
      </c>
    </row>
    <row r="21" spans="1:13" x14ac:dyDescent="0.35">
      <c r="A21" s="24" t="s">
        <v>711</v>
      </c>
      <c r="B21" s="24" t="s">
        <v>168</v>
      </c>
      <c r="C21" s="24">
        <v>-1.2406124515921199E-2</v>
      </c>
      <c r="D21" s="24">
        <v>0.39100000000000001</v>
      </c>
      <c r="E21" s="24" t="s">
        <v>709</v>
      </c>
      <c r="F21" s="24" t="s">
        <v>710</v>
      </c>
      <c r="H21" s="24" t="s">
        <v>711</v>
      </c>
      <c r="I21" s="24" t="s">
        <v>726</v>
      </c>
      <c r="J21" s="24">
        <v>0.155039514265124</v>
      </c>
      <c r="K21" s="24">
        <v>0.06</v>
      </c>
      <c r="L21" s="24" t="s">
        <v>709</v>
      </c>
      <c r="M21" s="24" t="s">
        <v>710</v>
      </c>
    </row>
    <row r="22" spans="1:13" x14ac:dyDescent="0.35">
      <c r="A22" s="24" t="s">
        <v>711</v>
      </c>
      <c r="B22" s="24" t="s">
        <v>169</v>
      </c>
      <c r="C22" s="24">
        <v>4.1487400256764902E-2</v>
      </c>
      <c r="D22" s="24">
        <v>0.29499999999999998</v>
      </c>
      <c r="E22" s="24" t="s">
        <v>709</v>
      </c>
      <c r="F22" s="24" t="s">
        <v>710</v>
      </c>
      <c r="H22" s="24" t="s">
        <v>711</v>
      </c>
      <c r="I22" s="24" t="s">
        <v>106</v>
      </c>
      <c r="J22" s="24">
        <v>0.17691531275157499</v>
      </c>
      <c r="K22" s="24">
        <v>7.2999999999999995E-2</v>
      </c>
      <c r="L22" s="24" t="s">
        <v>709</v>
      </c>
      <c r="M22" s="24" t="s">
        <v>710</v>
      </c>
    </row>
    <row r="23" spans="1:13" x14ac:dyDescent="0.35">
      <c r="A23" s="2" t="s">
        <v>714</v>
      </c>
      <c r="B23" s="2" t="s">
        <v>162</v>
      </c>
      <c r="C23" s="2">
        <v>0.271184402808619</v>
      </c>
      <c r="D23" s="2">
        <v>5.0000000000000001E-3</v>
      </c>
      <c r="E23" s="2" t="s">
        <v>715</v>
      </c>
      <c r="F23" s="2" t="s">
        <v>713</v>
      </c>
      <c r="H23" s="24" t="s">
        <v>711</v>
      </c>
      <c r="I23" s="24" t="s">
        <v>107</v>
      </c>
      <c r="J23" s="24">
        <v>-4.96712602162344E-2</v>
      </c>
      <c r="K23" s="24">
        <v>0.53100000000000003</v>
      </c>
      <c r="L23" s="24" t="s">
        <v>709</v>
      </c>
      <c r="M23" s="24" t="s">
        <v>710</v>
      </c>
    </row>
    <row r="24" spans="1:13" x14ac:dyDescent="0.35">
      <c r="A24" s="2" t="s">
        <v>714</v>
      </c>
      <c r="B24" s="2" t="s">
        <v>163</v>
      </c>
      <c r="C24" s="2">
        <v>0.27585072566103902</v>
      </c>
      <c r="D24" s="2">
        <v>2E-3</v>
      </c>
      <c r="E24" s="2" t="s">
        <v>715</v>
      </c>
      <c r="F24" s="2" t="s">
        <v>713</v>
      </c>
      <c r="H24" s="24" t="s">
        <v>711</v>
      </c>
      <c r="I24" s="24" t="s">
        <v>110</v>
      </c>
      <c r="J24" s="24">
        <v>0.53390704860109295</v>
      </c>
      <c r="K24" s="24">
        <v>1E-3</v>
      </c>
      <c r="L24" s="24" t="s">
        <v>712</v>
      </c>
      <c r="M24" s="24" t="s">
        <v>718</v>
      </c>
    </row>
    <row r="25" spans="1:13" x14ac:dyDescent="0.35">
      <c r="A25" s="2" t="s">
        <v>714</v>
      </c>
      <c r="B25" s="2" t="s">
        <v>22</v>
      </c>
      <c r="C25" s="2">
        <v>0.32707845757704801</v>
      </c>
      <c r="D25" s="2">
        <v>2E-3</v>
      </c>
      <c r="E25" s="2" t="s">
        <v>712</v>
      </c>
      <c r="F25" s="2" t="s">
        <v>713</v>
      </c>
      <c r="H25" s="24" t="s">
        <v>711</v>
      </c>
      <c r="I25" s="24" t="s">
        <v>109</v>
      </c>
      <c r="J25" s="24">
        <v>0.15030390529777499</v>
      </c>
      <c r="K25" s="24">
        <v>8.7999999999999995E-2</v>
      </c>
      <c r="L25" s="24" t="s">
        <v>709</v>
      </c>
      <c r="M25" s="24" t="s">
        <v>710</v>
      </c>
    </row>
    <row r="26" spans="1:13" x14ac:dyDescent="0.35">
      <c r="A26" s="2" t="s">
        <v>714</v>
      </c>
      <c r="B26" s="2" t="s">
        <v>164</v>
      </c>
      <c r="C26" s="2">
        <v>0.32562163697056901</v>
      </c>
      <c r="D26" s="2">
        <v>3.0000000000000001E-3</v>
      </c>
      <c r="E26" s="2" t="s">
        <v>712</v>
      </c>
      <c r="F26" s="2" t="s">
        <v>713</v>
      </c>
      <c r="H26" s="24" t="s">
        <v>711</v>
      </c>
      <c r="I26" s="24" t="s">
        <v>108</v>
      </c>
      <c r="J26" s="24">
        <v>0.104418046183513</v>
      </c>
      <c r="K26" s="24">
        <v>0.156</v>
      </c>
      <c r="L26" s="24" t="s">
        <v>709</v>
      </c>
      <c r="M26" s="24" t="s">
        <v>710</v>
      </c>
    </row>
    <row r="27" spans="1:13" x14ac:dyDescent="0.35">
      <c r="A27" s="2" t="s">
        <v>714</v>
      </c>
      <c r="B27" s="2" t="s">
        <v>165</v>
      </c>
      <c r="C27" s="2">
        <v>5.4279586000058897E-3</v>
      </c>
      <c r="D27" s="2">
        <v>0.442</v>
      </c>
      <c r="E27" s="2" t="s">
        <v>709</v>
      </c>
      <c r="F27" s="2" t="s">
        <v>710</v>
      </c>
      <c r="H27" s="2" t="s">
        <v>714</v>
      </c>
      <c r="I27" s="2" t="s">
        <v>170</v>
      </c>
      <c r="J27" s="2">
        <v>0.30467812403212802</v>
      </c>
      <c r="K27" s="2">
        <v>4.0000000000000001E-3</v>
      </c>
      <c r="L27" s="2" t="s">
        <v>712</v>
      </c>
      <c r="M27" s="2" t="s">
        <v>713</v>
      </c>
    </row>
    <row r="28" spans="1:13" x14ac:dyDescent="0.35">
      <c r="A28" s="2" t="s">
        <v>714</v>
      </c>
      <c r="B28" s="2" t="s">
        <v>166</v>
      </c>
      <c r="C28" s="2">
        <v>0.197308328888986</v>
      </c>
      <c r="D28" s="2">
        <v>1.2E-2</v>
      </c>
      <c r="E28" s="2" t="s">
        <v>709</v>
      </c>
      <c r="F28" s="2" t="s">
        <v>716</v>
      </c>
      <c r="H28" s="2" t="s">
        <v>714</v>
      </c>
      <c r="I28" s="2" t="s">
        <v>171</v>
      </c>
      <c r="J28" s="2">
        <v>0.188465409270202</v>
      </c>
      <c r="K28" s="2">
        <v>4.5999999999999999E-2</v>
      </c>
      <c r="L28" s="2" t="s">
        <v>709</v>
      </c>
      <c r="M28" s="2" t="s">
        <v>716</v>
      </c>
    </row>
    <row r="29" spans="1:13" x14ac:dyDescent="0.35">
      <c r="A29" s="2" t="s">
        <v>714</v>
      </c>
      <c r="B29" s="2" t="s">
        <v>167</v>
      </c>
      <c r="C29" s="2">
        <v>-5.2917427721145202E-2</v>
      </c>
      <c r="D29" s="2">
        <v>0.7</v>
      </c>
      <c r="E29" s="2" t="s">
        <v>709</v>
      </c>
      <c r="F29" s="2" t="s">
        <v>710</v>
      </c>
      <c r="H29" s="2" t="s">
        <v>714</v>
      </c>
      <c r="I29" s="2" t="s">
        <v>105</v>
      </c>
      <c r="J29" s="2">
        <v>0.13514971855653399</v>
      </c>
      <c r="K29" s="2">
        <v>0.104</v>
      </c>
      <c r="L29" s="2" t="s">
        <v>709</v>
      </c>
      <c r="M29" s="2" t="s">
        <v>710</v>
      </c>
    </row>
    <row r="30" spans="1:13" x14ac:dyDescent="0.35">
      <c r="A30" s="2" t="s">
        <v>714</v>
      </c>
      <c r="B30" s="2" t="s">
        <v>37</v>
      </c>
      <c r="C30" s="2">
        <v>-3.57414400002928E-2</v>
      </c>
      <c r="D30" s="2">
        <v>0.627</v>
      </c>
      <c r="E30" s="2" t="s">
        <v>709</v>
      </c>
      <c r="F30" s="2" t="s">
        <v>710</v>
      </c>
      <c r="H30" s="2" t="s">
        <v>714</v>
      </c>
      <c r="I30" s="2" t="s">
        <v>172</v>
      </c>
      <c r="J30" s="2">
        <v>-2.98018596385752E-2</v>
      </c>
      <c r="K30" s="2">
        <v>0.57199999999999995</v>
      </c>
      <c r="L30" s="2" t="s">
        <v>709</v>
      </c>
      <c r="M30" s="2" t="s">
        <v>710</v>
      </c>
    </row>
    <row r="31" spans="1:13" x14ac:dyDescent="0.35">
      <c r="A31" s="2" t="s">
        <v>714</v>
      </c>
      <c r="B31" s="2" t="s">
        <v>168</v>
      </c>
      <c r="C31" s="2">
        <v>-0.19314361725746099</v>
      </c>
      <c r="D31" s="2">
        <v>0.996</v>
      </c>
      <c r="E31" s="2" t="s">
        <v>709</v>
      </c>
      <c r="F31" s="2" t="s">
        <v>710</v>
      </c>
      <c r="H31" s="2" t="s">
        <v>714</v>
      </c>
      <c r="I31" s="2" t="s">
        <v>173</v>
      </c>
      <c r="J31" s="2">
        <v>1.37220811737083E-2</v>
      </c>
      <c r="K31" s="2">
        <v>0.441</v>
      </c>
      <c r="L31" s="2" t="s">
        <v>709</v>
      </c>
      <c r="M31" s="2" t="s">
        <v>710</v>
      </c>
    </row>
    <row r="32" spans="1:13" x14ac:dyDescent="0.35">
      <c r="A32" s="2" t="s">
        <v>714</v>
      </c>
      <c r="B32" s="2" t="s">
        <v>169</v>
      </c>
      <c r="C32" s="2">
        <v>-7.1405490862178497E-2</v>
      </c>
      <c r="D32" s="2">
        <v>0.75700000000000001</v>
      </c>
      <c r="E32" s="2" t="s">
        <v>709</v>
      </c>
      <c r="F32" s="2" t="s">
        <v>710</v>
      </c>
      <c r="H32" s="2" t="s">
        <v>714</v>
      </c>
      <c r="I32" s="2" t="s">
        <v>725</v>
      </c>
      <c r="J32" s="2">
        <v>2.51202789128483E-2</v>
      </c>
      <c r="K32" s="2">
        <v>0.39300000000000002</v>
      </c>
      <c r="L32" s="2" t="s">
        <v>709</v>
      </c>
      <c r="M32" s="2" t="s">
        <v>710</v>
      </c>
    </row>
    <row r="33" spans="1:13" x14ac:dyDescent="0.35">
      <c r="A33" s="24" t="s">
        <v>717</v>
      </c>
      <c r="B33" s="24" t="s">
        <v>162</v>
      </c>
      <c r="C33" s="24">
        <v>0.22358773374555299</v>
      </c>
      <c r="D33" s="24">
        <v>1.6E-2</v>
      </c>
      <c r="E33" s="24" t="s">
        <v>715</v>
      </c>
      <c r="F33" s="24" t="s">
        <v>716</v>
      </c>
      <c r="H33" s="2" t="s">
        <v>714</v>
      </c>
      <c r="I33" s="2" t="s">
        <v>726</v>
      </c>
      <c r="J33" s="2">
        <v>0.11389116259182799</v>
      </c>
      <c r="K33" s="2">
        <v>6.8000000000000005E-2</v>
      </c>
      <c r="L33" s="2" t="s">
        <v>709</v>
      </c>
      <c r="M33" s="2" t="s">
        <v>710</v>
      </c>
    </row>
    <row r="34" spans="1:13" x14ac:dyDescent="0.35">
      <c r="A34" s="24" t="s">
        <v>717</v>
      </c>
      <c r="B34" s="24" t="s">
        <v>163</v>
      </c>
      <c r="C34" s="24">
        <v>0.245172731983438</v>
      </c>
      <c r="D34" s="24">
        <v>3.0000000000000001E-3</v>
      </c>
      <c r="E34" s="24" t="s">
        <v>715</v>
      </c>
      <c r="F34" s="24" t="s">
        <v>713</v>
      </c>
      <c r="H34" s="2" t="s">
        <v>714</v>
      </c>
      <c r="I34" s="2" t="s">
        <v>106</v>
      </c>
      <c r="J34" s="2">
        <v>0.241741790763248</v>
      </c>
      <c r="K34" s="2">
        <v>8.0000000000000002E-3</v>
      </c>
      <c r="L34" s="2" t="s">
        <v>715</v>
      </c>
      <c r="M34" s="2" t="s">
        <v>713</v>
      </c>
    </row>
    <row r="35" spans="1:13" x14ac:dyDescent="0.35">
      <c r="A35" s="24" t="s">
        <v>717</v>
      </c>
      <c r="B35" s="24" t="s">
        <v>22</v>
      </c>
      <c r="C35" s="24">
        <v>0.28644306757665799</v>
      </c>
      <c r="D35" s="24">
        <v>1E-3</v>
      </c>
      <c r="E35" s="24" t="s">
        <v>715</v>
      </c>
      <c r="F35" s="24" t="s">
        <v>718</v>
      </c>
      <c r="H35" s="2" t="s">
        <v>714</v>
      </c>
      <c r="I35" s="2" t="s">
        <v>107</v>
      </c>
      <c r="J35" s="2">
        <v>6.1087091150371198E-2</v>
      </c>
      <c r="K35" s="2">
        <v>0.246</v>
      </c>
      <c r="L35" s="2" t="s">
        <v>709</v>
      </c>
      <c r="M35" s="2" t="s">
        <v>710</v>
      </c>
    </row>
    <row r="36" spans="1:13" x14ac:dyDescent="0.35">
      <c r="A36" s="24" t="s">
        <v>717</v>
      </c>
      <c r="B36" s="24" t="s">
        <v>164</v>
      </c>
      <c r="C36" s="24">
        <v>0.45254863120379502</v>
      </c>
      <c r="D36" s="24">
        <v>1E-3</v>
      </c>
      <c r="E36" s="24" t="s">
        <v>712</v>
      </c>
      <c r="F36" s="24" t="s">
        <v>718</v>
      </c>
      <c r="H36" s="2" t="s">
        <v>714</v>
      </c>
      <c r="I36" s="2" t="s">
        <v>110</v>
      </c>
      <c r="J36" s="2">
        <v>0.451256406362192</v>
      </c>
      <c r="K36" s="2">
        <v>1E-3</v>
      </c>
      <c r="L36" s="2" t="s">
        <v>712</v>
      </c>
      <c r="M36" s="2" t="s">
        <v>718</v>
      </c>
    </row>
    <row r="37" spans="1:13" x14ac:dyDescent="0.35">
      <c r="A37" s="24" t="s">
        <v>717</v>
      </c>
      <c r="B37" s="24" t="s">
        <v>165</v>
      </c>
      <c r="C37" s="24">
        <v>-7.9688314794877594E-3</v>
      </c>
      <c r="D37" s="24">
        <v>0.47499999999999998</v>
      </c>
      <c r="E37" s="24" t="s">
        <v>709</v>
      </c>
      <c r="F37" s="24" t="s">
        <v>710</v>
      </c>
      <c r="H37" s="2" t="s">
        <v>714</v>
      </c>
      <c r="I37" s="2" t="s">
        <v>109</v>
      </c>
      <c r="J37" s="2">
        <v>0.16622375992897001</v>
      </c>
      <c r="K37" s="2">
        <v>0.04</v>
      </c>
      <c r="L37" s="2" t="s">
        <v>709</v>
      </c>
      <c r="M37" s="2" t="s">
        <v>716</v>
      </c>
    </row>
    <row r="38" spans="1:13" x14ac:dyDescent="0.35">
      <c r="A38" s="24" t="s">
        <v>717</v>
      </c>
      <c r="B38" s="24" t="s">
        <v>166</v>
      </c>
      <c r="C38" s="24">
        <v>0.185673778555416</v>
      </c>
      <c r="D38" s="24">
        <v>2.3E-2</v>
      </c>
      <c r="E38" s="24" t="s">
        <v>709</v>
      </c>
      <c r="F38" s="24" t="s">
        <v>716</v>
      </c>
      <c r="H38" s="2" t="s">
        <v>714</v>
      </c>
      <c r="I38" s="2" t="s">
        <v>108</v>
      </c>
      <c r="J38" s="2">
        <v>5.1175370744260699E-2</v>
      </c>
      <c r="K38" s="2">
        <v>0.23899999999999999</v>
      </c>
      <c r="L38" s="2" t="s">
        <v>709</v>
      </c>
      <c r="M38" s="2" t="s">
        <v>710</v>
      </c>
    </row>
    <row r="39" spans="1:13" x14ac:dyDescent="0.35">
      <c r="A39" s="24" t="s">
        <v>717</v>
      </c>
      <c r="B39" s="24" t="s">
        <v>167</v>
      </c>
      <c r="C39" s="24">
        <v>-7.2148348642952706E-2</v>
      </c>
      <c r="D39" s="24">
        <v>0.71699999999999997</v>
      </c>
      <c r="E39" s="24" t="s">
        <v>709</v>
      </c>
      <c r="F39" s="24" t="s">
        <v>710</v>
      </c>
      <c r="H39" s="24" t="s">
        <v>717</v>
      </c>
      <c r="I39" s="24" t="s">
        <v>170</v>
      </c>
      <c r="J39" s="24">
        <v>0.34478692915234299</v>
      </c>
      <c r="K39" s="24">
        <v>4.0000000000000001E-3</v>
      </c>
      <c r="L39" s="24" t="s">
        <v>712</v>
      </c>
      <c r="M39" s="24" t="s">
        <v>713</v>
      </c>
    </row>
    <row r="40" spans="1:13" x14ac:dyDescent="0.35">
      <c r="A40" s="24" t="s">
        <v>717</v>
      </c>
      <c r="B40" s="24" t="s">
        <v>37</v>
      </c>
      <c r="C40" s="24">
        <v>1.1331885818907801E-2</v>
      </c>
      <c r="D40" s="24">
        <v>0.375</v>
      </c>
      <c r="E40" s="24" t="s">
        <v>709</v>
      </c>
      <c r="F40" s="24" t="s">
        <v>710</v>
      </c>
      <c r="H40" s="24" t="s">
        <v>717</v>
      </c>
      <c r="I40" s="24" t="s">
        <v>171</v>
      </c>
      <c r="J40" s="24">
        <v>0.24985404007151901</v>
      </c>
      <c r="K40" s="24">
        <v>3.4000000000000002E-2</v>
      </c>
      <c r="L40" s="24" t="s">
        <v>715</v>
      </c>
      <c r="M40" s="24" t="s">
        <v>716</v>
      </c>
    </row>
    <row r="41" spans="1:13" x14ac:dyDescent="0.35">
      <c r="A41" s="24" t="s">
        <v>717</v>
      </c>
      <c r="B41" s="24" t="s">
        <v>168</v>
      </c>
      <c r="C41" s="24">
        <v>-0.174155677646915</v>
      </c>
      <c r="D41" s="24">
        <v>0.98099999999999998</v>
      </c>
      <c r="E41" s="24" t="s">
        <v>709</v>
      </c>
      <c r="F41" s="24" t="s">
        <v>710</v>
      </c>
      <c r="H41" s="24" t="s">
        <v>717</v>
      </c>
      <c r="I41" s="24" t="s">
        <v>105</v>
      </c>
      <c r="J41" s="24">
        <v>0.16840555827471901</v>
      </c>
      <c r="K41" s="24">
        <v>0.107</v>
      </c>
      <c r="L41" s="24" t="s">
        <v>709</v>
      </c>
      <c r="M41" s="24" t="s">
        <v>710</v>
      </c>
    </row>
    <row r="42" spans="1:13" x14ac:dyDescent="0.35">
      <c r="A42" s="24" t="s">
        <v>717</v>
      </c>
      <c r="B42" s="24" t="s">
        <v>169</v>
      </c>
      <c r="C42" s="24">
        <v>-8.6027450359315694E-2</v>
      </c>
      <c r="D42" s="24">
        <v>0.76800000000000002</v>
      </c>
      <c r="E42" s="24" t="s">
        <v>709</v>
      </c>
      <c r="F42" s="24" t="s">
        <v>710</v>
      </c>
      <c r="H42" s="24" t="s">
        <v>717</v>
      </c>
      <c r="I42" s="24" t="s">
        <v>172</v>
      </c>
      <c r="J42" s="24">
        <v>5.1262439438838098E-2</v>
      </c>
      <c r="K42" s="24">
        <v>0.314</v>
      </c>
      <c r="L42" s="24" t="s">
        <v>709</v>
      </c>
      <c r="M42" s="24" t="s">
        <v>710</v>
      </c>
    </row>
    <row r="43" spans="1:13" x14ac:dyDescent="0.35">
      <c r="H43" s="24" t="s">
        <v>717</v>
      </c>
      <c r="I43" s="24" t="s">
        <v>173</v>
      </c>
      <c r="J43" s="24">
        <v>3.60210025915738E-2</v>
      </c>
      <c r="K43" s="24">
        <v>0.34599999999999997</v>
      </c>
      <c r="L43" s="24" t="s">
        <v>709</v>
      </c>
      <c r="M43" s="24" t="s">
        <v>710</v>
      </c>
    </row>
    <row r="44" spans="1:13" x14ac:dyDescent="0.35">
      <c r="A44" s="1" t="s">
        <v>604</v>
      </c>
      <c r="H44" s="24" t="s">
        <v>717</v>
      </c>
      <c r="I44" s="24" t="s">
        <v>725</v>
      </c>
      <c r="J44" s="24">
        <v>5.2956613501371597E-2</v>
      </c>
      <c r="K44" s="24">
        <v>0.32100000000000001</v>
      </c>
      <c r="L44" s="24" t="s">
        <v>709</v>
      </c>
      <c r="M44" s="24" t="s">
        <v>710</v>
      </c>
    </row>
    <row r="45" spans="1:13" x14ac:dyDescent="0.35">
      <c r="A45" s="2" t="s">
        <v>669</v>
      </c>
      <c r="H45" s="24" t="s">
        <v>717</v>
      </c>
      <c r="I45" s="24" t="s">
        <v>726</v>
      </c>
      <c r="J45" s="24">
        <v>0.16637480833514701</v>
      </c>
      <c r="K45" s="24">
        <v>3.2000000000000001E-2</v>
      </c>
      <c r="L45" s="24" t="s">
        <v>709</v>
      </c>
      <c r="M45" s="24" t="s">
        <v>716</v>
      </c>
    </row>
    <row r="46" spans="1:13" x14ac:dyDescent="0.35">
      <c r="A46" s="2" t="s">
        <v>729</v>
      </c>
      <c r="H46" s="24" t="s">
        <v>717</v>
      </c>
      <c r="I46" s="24" t="s">
        <v>106</v>
      </c>
      <c r="J46" s="24">
        <v>0.22853631475952099</v>
      </c>
      <c r="K46" s="24">
        <v>1.4999999999999999E-2</v>
      </c>
      <c r="L46" s="24" t="s">
        <v>715</v>
      </c>
      <c r="M46" s="24" t="s">
        <v>716</v>
      </c>
    </row>
    <row r="47" spans="1:13" x14ac:dyDescent="0.35">
      <c r="A47" s="2" t="s">
        <v>730</v>
      </c>
      <c r="H47" s="24" t="s">
        <v>717</v>
      </c>
      <c r="I47" s="24" t="s">
        <v>107</v>
      </c>
      <c r="J47" s="24">
        <v>3.47773043163951E-2</v>
      </c>
      <c r="K47" s="24">
        <v>0.35599999999999998</v>
      </c>
      <c r="L47" s="24" t="s">
        <v>709</v>
      </c>
      <c r="M47" s="24" t="s">
        <v>710</v>
      </c>
    </row>
    <row r="48" spans="1:13" x14ac:dyDescent="0.35">
      <c r="A48" s="2" t="s">
        <v>731</v>
      </c>
      <c r="H48" s="24" t="s">
        <v>717</v>
      </c>
      <c r="I48" s="24" t="s">
        <v>110</v>
      </c>
      <c r="J48" s="24">
        <v>0.577726928946378</v>
      </c>
      <c r="K48" s="24">
        <v>1E-3</v>
      </c>
      <c r="L48" s="24" t="s">
        <v>712</v>
      </c>
      <c r="M48" s="24" t="s">
        <v>718</v>
      </c>
    </row>
    <row r="49" spans="1:13" x14ac:dyDescent="0.35">
      <c r="A49" s="2" t="s">
        <v>732</v>
      </c>
      <c r="H49" s="24" t="s">
        <v>717</v>
      </c>
      <c r="I49" s="24" t="s">
        <v>109</v>
      </c>
      <c r="J49" s="24">
        <v>0.23220930342958301</v>
      </c>
      <c r="K49" s="24">
        <v>1.7999999999999999E-2</v>
      </c>
      <c r="L49" s="24" t="s">
        <v>715</v>
      </c>
      <c r="M49" s="24" t="s">
        <v>716</v>
      </c>
    </row>
    <row r="50" spans="1:13" x14ac:dyDescent="0.35">
      <c r="A50" s="2" t="s">
        <v>733</v>
      </c>
      <c r="H50" s="24" t="s">
        <v>717</v>
      </c>
      <c r="I50" s="24" t="s">
        <v>108</v>
      </c>
      <c r="J50" s="24">
        <v>0.11111859527154599</v>
      </c>
      <c r="K50" s="24">
        <v>0.10199999999999999</v>
      </c>
      <c r="L50" s="24" t="s">
        <v>709</v>
      </c>
      <c r="M50" s="24" t="s">
        <v>710</v>
      </c>
    </row>
    <row r="51" spans="1:13" x14ac:dyDescent="0.35">
      <c r="A51" s="2" t="s">
        <v>734</v>
      </c>
    </row>
    <row r="52" spans="1:13" x14ac:dyDescent="0.35">
      <c r="A52" s="2" t="s">
        <v>735</v>
      </c>
    </row>
    <row r="53" spans="1:13" x14ac:dyDescent="0.35">
      <c r="A53" s="2" t="s">
        <v>736</v>
      </c>
    </row>
    <row r="54" spans="1:13" x14ac:dyDescent="0.35">
      <c r="A54" s="2" t="s">
        <v>737</v>
      </c>
    </row>
    <row r="55" spans="1:13" x14ac:dyDescent="0.35">
      <c r="A55" s="2" t="s">
        <v>738</v>
      </c>
    </row>
    <row r="56" spans="1:13" x14ac:dyDescent="0.35">
      <c r="A56" s="2" t="s">
        <v>739</v>
      </c>
    </row>
    <row r="57" spans="1:13" x14ac:dyDescent="0.35">
      <c r="A57" s="2" t="s">
        <v>742</v>
      </c>
    </row>
    <row r="58" spans="1:13" x14ac:dyDescent="0.35">
      <c r="A58" s="2" t="s">
        <v>743</v>
      </c>
    </row>
    <row r="59" spans="1:13" x14ac:dyDescent="0.35">
      <c r="A59" s="2" t="s">
        <v>740</v>
      </c>
    </row>
    <row r="60" spans="1:13" x14ac:dyDescent="0.35">
      <c r="A60" s="2" t="s">
        <v>741</v>
      </c>
    </row>
  </sheetData>
  <mergeCells count="2">
    <mergeCell ref="A1:F1"/>
    <mergeCell ref="H1:M1"/>
  </mergeCells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9859A-DE98-42B8-B1AA-364652F73F1D}">
  <dimension ref="A1:AB50"/>
  <sheetViews>
    <sheetView workbookViewId="0">
      <selection activeCell="A29" sqref="A29"/>
    </sheetView>
  </sheetViews>
  <sheetFormatPr defaultRowHeight="14.15" x14ac:dyDescent="0.35"/>
  <cols>
    <col min="1" max="4" width="9.140625" style="2"/>
    <col min="5" max="5" width="16.78515625" style="2" customWidth="1"/>
    <col min="6" max="8" width="9.140625" style="2"/>
    <col min="9" max="9" width="18" style="2" customWidth="1"/>
    <col min="10" max="12" width="9.140625" style="2"/>
    <col min="13" max="13" width="13.78515625" style="2" customWidth="1"/>
    <col min="14" max="22" width="9.140625" style="2"/>
    <col min="23" max="23" width="12.92578125" style="2" customWidth="1"/>
    <col min="24" max="16384" width="9.140625" style="2"/>
  </cols>
  <sheetData>
    <row r="1" spans="1:28" s="1" customFormat="1" x14ac:dyDescent="0.35">
      <c r="A1" s="75" t="s">
        <v>836</v>
      </c>
      <c r="B1" s="75"/>
      <c r="C1" s="75"/>
      <c r="E1" s="73" t="s">
        <v>837</v>
      </c>
      <c r="F1" s="73"/>
      <c r="G1" s="73"/>
      <c r="I1" s="74" t="s">
        <v>838</v>
      </c>
      <c r="J1" s="74"/>
      <c r="K1" s="74"/>
      <c r="M1" s="76" t="s">
        <v>926</v>
      </c>
      <c r="N1" s="76"/>
      <c r="O1" s="76"/>
      <c r="P1" s="76"/>
      <c r="Q1" s="76"/>
      <c r="R1" s="76"/>
      <c r="S1" s="76"/>
      <c r="T1" s="76"/>
      <c r="U1" s="76"/>
      <c r="W1" s="78" t="s">
        <v>847</v>
      </c>
      <c r="X1" s="78"/>
      <c r="Y1" s="78"/>
      <c r="Z1" s="78"/>
      <c r="AA1" s="78"/>
      <c r="AB1" s="78"/>
    </row>
    <row r="2" spans="1:28" s="1" customFormat="1" x14ac:dyDescent="0.35">
      <c r="A2" s="1" t="s">
        <v>20</v>
      </c>
      <c r="B2" s="1" t="s">
        <v>781</v>
      </c>
      <c r="C2" s="1" t="s">
        <v>783</v>
      </c>
      <c r="F2" s="1" t="s">
        <v>781</v>
      </c>
      <c r="G2" s="1" t="s">
        <v>783</v>
      </c>
      <c r="I2" s="1" t="s">
        <v>663</v>
      </c>
      <c r="J2" s="1" t="s">
        <v>781</v>
      </c>
      <c r="K2" s="1" t="s">
        <v>783</v>
      </c>
      <c r="M2" s="1" t="s">
        <v>345</v>
      </c>
      <c r="W2" s="2"/>
      <c r="X2" s="2" t="s">
        <v>831</v>
      </c>
      <c r="Y2" s="2" t="s">
        <v>832</v>
      </c>
      <c r="Z2" s="2" t="s">
        <v>833</v>
      </c>
      <c r="AA2" s="2" t="s">
        <v>834</v>
      </c>
      <c r="AB2" s="2" t="s">
        <v>825</v>
      </c>
    </row>
    <row r="3" spans="1:28" x14ac:dyDescent="0.35">
      <c r="A3" s="2" t="s">
        <v>14</v>
      </c>
      <c r="B3" s="2">
        <v>-0.16389601340000001</v>
      </c>
      <c r="C3" s="2">
        <v>0.13911765600000001</v>
      </c>
      <c r="E3" s="2" t="s">
        <v>220</v>
      </c>
      <c r="F3" s="2">
        <v>-0.41760508000000002</v>
      </c>
      <c r="G3" s="2">
        <v>1.4839720000000001E-2</v>
      </c>
      <c r="I3" s="2" t="s">
        <v>514</v>
      </c>
      <c r="J3" s="2">
        <v>0.19788359999999999</v>
      </c>
      <c r="K3" s="2">
        <v>-0.12170516300000001</v>
      </c>
      <c r="M3" s="43"/>
      <c r="N3" s="43" t="s">
        <v>799</v>
      </c>
      <c r="O3" s="43" t="s">
        <v>800</v>
      </c>
      <c r="P3" s="43" t="s">
        <v>801</v>
      </c>
      <c r="Q3" s="2" t="s">
        <v>802</v>
      </c>
      <c r="W3" s="2" t="s">
        <v>784</v>
      </c>
      <c r="X3" s="2">
        <v>5.4199999999999998E-2</v>
      </c>
      <c r="Y3" s="2">
        <v>5.3400000000000003E-2</v>
      </c>
      <c r="Z3" s="2">
        <v>0.1076</v>
      </c>
      <c r="AA3" s="2">
        <v>20.3</v>
      </c>
      <c r="AB3" s="2" t="s">
        <v>839</v>
      </c>
    </row>
    <row r="4" spans="1:28" x14ac:dyDescent="0.35">
      <c r="A4" s="2" t="s">
        <v>14</v>
      </c>
      <c r="B4" s="2">
        <v>-0.44447237509999998</v>
      </c>
      <c r="C4" s="2">
        <v>-0.17869623400000001</v>
      </c>
      <c r="E4" s="2" t="s">
        <v>558</v>
      </c>
      <c r="F4" s="2">
        <v>0.29243005999999999</v>
      </c>
      <c r="G4" s="2">
        <v>2.0478039999999999E-2</v>
      </c>
      <c r="I4" s="2" t="s">
        <v>523</v>
      </c>
      <c r="J4" s="2">
        <v>-0.20883837</v>
      </c>
      <c r="K4" s="2">
        <v>-0.78152539099999996</v>
      </c>
      <c r="M4" s="2" t="s">
        <v>803</v>
      </c>
      <c r="N4" s="2">
        <v>0.52459999999999996</v>
      </c>
      <c r="O4" s="2">
        <v>0.4289</v>
      </c>
      <c r="P4" s="2">
        <v>0.23269999999999999</v>
      </c>
      <c r="Q4" s="2">
        <v>0.21695</v>
      </c>
      <c r="W4" s="2" t="s">
        <v>785</v>
      </c>
      <c r="X4" s="2">
        <v>0.04</v>
      </c>
      <c r="Y4" s="2">
        <v>1.8499999999999999E-2</v>
      </c>
      <c r="Z4" s="2">
        <v>5.8500000000000003E-2</v>
      </c>
      <c r="AA4" s="2">
        <v>11.04</v>
      </c>
      <c r="AB4" s="2" t="s">
        <v>840</v>
      </c>
    </row>
    <row r="5" spans="1:28" x14ac:dyDescent="0.35">
      <c r="A5" s="2" t="s">
        <v>14</v>
      </c>
      <c r="B5" s="2">
        <v>-0.41895747529999999</v>
      </c>
      <c r="C5" s="2">
        <v>-0.123326094</v>
      </c>
      <c r="E5" s="2" t="s">
        <v>559</v>
      </c>
      <c r="F5" s="2">
        <v>0.21278707999999999</v>
      </c>
      <c r="G5" s="2">
        <v>-0.17322045999999999</v>
      </c>
      <c r="I5" s="2" t="s">
        <v>528</v>
      </c>
      <c r="J5" s="2">
        <v>-0.21435719</v>
      </c>
      <c r="K5" s="2">
        <v>-5.2873725000000003E-2</v>
      </c>
      <c r="M5" s="2" t="s">
        <v>804</v>
      </c>
      <c r="N5" s="2">
        <v>0.52459999999999996</v>
      </c>
      <c r="O5" s="2">
        <v>0.42880000000000001</v>
      </c>
      <c r="P5" s="2">
        <v>0.16589999999999999</v>
      </c>
      <c r="Q5" s="2">
        <v>0.20895</v>
      </c>
      <c r="W5" s="2" t="s">
        <v>786</v>
      </c>
      <c r="X5" s="2">
        <v>3.1199999999999999E-2</v>
      </c>
      <c r="Y5" s="2">
        <v>2.6499999999999999E-2</v>
      </c>
      <c r="Z5" s="2">
        <v>5.7700000000000001E-2</v>
      </c>
      <c r="AA5" s="2">
        <v>10.89</v>
      </c>
      <c r="AB5" s="2" t="s">
        <v>841</v>
      </c>
    </row>
    <row r="6" spans="1:28" x14ac:dyDescent="0.35">
      <c r="A6" s="2" t="s">
        <v>14</v>
      </c>
      <c r="B6" s="2">
        <v>-0.43459918539999998</v>
      </c>
      <c r="C6" s="2">
        <v>1.5086479999999999E-2</v>
      </c>
      <c r="E6" s="2" t="s">
        <v>221</v>
      </c>
      <c r="F6" s="2">
        <v>1.829656E-2</v>
      </c>
      <c r="G6" s="2">
        <v>0.15688783000000001</v>
      </c>
      <c r="I6" s="2" t="s">
        <v>530</v>
      </c>
      <c r="J6" s="2">
        <v>-6.543997E-2</v>
      </c>
      <c r="K6" s="2">
        <v>0.19864659200000001</v>
      </c>
      <c r="M6" s="2" t="s">
        <v>805</v>
      </c>
      <c r="N6" s="2">
        <v>0.54410000000000003</v>
      </c>
      <c r="O6" s="2">
        <v>0.38540000000000002</v>
      </c>
      <c r="P6" s="2">
        <v>0.1111</v>
      </c>
      <c r="Q6" s="2">
        <v>6.9089999999999999E-2</v>
      </c>
      <c r="W6" s="2" t="s">
        <v>787</v>
      </c>
      <c r="X6" s="2">
        <v>2.2200000000000001E-2</v>
      </c>
      <c r="Y6" s="2">
        <v>1.77E-2</v>
      </c>
      <c r="Z6" s="2">
        <v>3.9899999999999998E-2</v>
      </c>
      <c r="AA6" s="2">
        <v>7.53</v>
      </c>
      <c r="AB6" s="2" t="s">
        <v>842</v>
      </c>
    </row>
    <row r="7" spans="1:28" x14ac:dyDescent="0.35">
      <c r="A7" s="2" t="s">
        <v>14</v>
      </c>
      <c r="B7" s="2">
        <v>-0.31644128049999998</v>
      </c>
      <c r="C7" s="2">
        <v>0.12580179399999999</v>
      </c>
      <c r="E7" s="2" t="s">
        <v>222</v>
      </c>
      <c r="F7" s="2">
        <v>0.14704881</v>
      </c>
      <c r="G7" s="2">
        <v>-0.22392065999999999</v>
      </c>
      <c r="I7" s="2" t="s">
        <v>534</v>
      </c>
      <c r="J7" s="2">
        <v>1.5567020000000001E-2</v>
      </c>
      <c r="K7" s="2">
        <v>9.8798792999999996E-2</v>
      </c>
      <c r="M7" s="2" t="s">
        <v>806</v>
      </c>
      <c r="N7" s="2">
        <v>3.6539000000000001</v>
      </c>
      <c r="O7" s="2">
        <v>2.8917000000000002</v>
      </c>
      <c r="P7" s="2">
        <v>1.6879</v>
      </c>
      <c r="Q7" s="2">
        <v>1.70503</v>
      </c>
      <c r="W7" s="2" t="s">
        <v>788</v>
      </c>
      <c r="X7" s="2">
        <v>4.3200000000000002E-2</v>
      </c>
      <c r="Y7" s="2">
        <v>2.2599999999999999E-2</v>
      </c>
      <c r="Z7" s="2">
        <v>6.5799999999999997E-2</v>
      </c>
      <c r="AA7" s="2">
        <v>12.42</v>
      </c>
      <c r="AB7" s="2" t="s">
        <v>843</v>
      </c>
    </row>
    <row r="8" spans="1:28" x14ac:dyDescent="0.35">
      <c r="A8" s="24" t="s">
        <v>15</v>
      </c>
      <c r="B8" s="24">
        <v>-0.14685298320000001</v>
      </c>
      <c r="C8" s="24">
        <v>6.6652069999999994E-2</v>
      </c>
      <c r="E8" s="2" t="s">
        <v>797</v>
      </c>
      <c r="F8" s="2">
        <v>-0.25465368999999999</v>
      </c>
      <c r="G8" s="2">
        <v>4.2359130000000002E-2</v>
      </c>
      <c r="I8" s="2" t="s">
        <v>536</v>
      </c>
      <c r="J8" s="2">
        <v>0.1290212</v>
      </c>
      <c r="K8" s="2">
        <v>-0.29268863099999998</v>
      </c>
      <c r="W8" s="2" t="s">
        <v>789</v>
      </c>
      <c r="X8" s="2">
        <v>2.4E-2</v>
      </c>
      <c r="Y8" s="2">
        <v>1.6899999999999998E-2</v>
      </c>
      <c r="Z8" s="2">
        <v>4.0899999999999999E-2</v>
      </c>
      <c r="AA8" s="2">
        <v>7.72</v>
      </c>
      <c r="AB8" s="2" t="s">
        <v>844</v>
      </c>
    </row>
    <row r="9" spans="1:28" x14ac:dyDescent="0.35">
      <c r="A9" s="24" t="s">
        <v>15</v>
      </c>
      <c r="B9" s="24">
        <v>-1.7361190000000001E-4</v>
      </c>
      <c r="C9" s="24">
        <v>0.16571439900000001</v>
      </c>
      <c r="E9" s="2" t="s">
        <v>798</v>
      </c>
      <c r="F9" s="2">
        <v>0.39525073999999999</v>
      </c>
      <c r="G9" s="2">
        <v>-4.9408140000000003E-2</v>
      </c>
      <c r="I9" s="2" t="s">
        <v>516</v>
      </c>
      <c r="J9" s="2">
        <v>0.30134481000000002</v>
      </c>
      <c r="K9" s="2">
        <v>0.113674846</v>
      </c>
      <c r="M9" s="1" t="s">
        <v>813</v>
      </c>
      <c r="W9" s="2" t="s">
        <v>790</v>
      </c>
      <c r="X9" s="2">
        <v>5.8099999999999999E-2</v>
      </c>
      <c r="Y9" s="2">
        <v>1.8200000000000001E-2</v>
      </c>
      <c r="Z9" s="2">
        <v>7.6300000000000007E-2</v>
      </c>
      <c r="AA9" s="2">
        <v>14.4</v>
      </c>
      <c r="AB9" s="2" t="s">
        <v>845</v>
      </c>
    </row>
    <row r="10" spans="1:28" x14ac:dyDescent="0.35">
      <c r="A10" s="24" t="s">
        <v>15</v>
      </c>
      <c r="B10" s="24">
        <v>-3.0791036000000001E-2</v>
      </c>
      <c r="C10" s="24">
        <v>0.14373071300000001</v>
      </c>
      <c r="E10" s="2" t="s">
        <v>225</v>
      </c>
      <c r="F10" s="2">
        <v>0.41354892999999998</v>
      </c>
      <c r="G10" s="2">
        <v>-0.11289293</v>
      </c>
      <c r="I10" s="2" t="s">
        <v>538</v>
      </c>
      <c r="J10" s="2">
        <v>-1.03493506</v>
      </c>
      <c r="K10" s="2">
        <v>-0.111704682</v>
      </c>
      <c r="N10" s="2" t="s">
        <v>808</v>
      </c>
      <c r="O10" s="2" t="s">
        <v>809</v>
      </c>
      <c r="W10" s="2" t="s">
        <v>791</v>
      </c>
      <c r="X10" s="2">
        <v>2.3699999999999999E-2</v>
      </c>
      <c r="Y10" s="2">
        <v>5.9799999999999999E-2</v>
      </c>
      <c r="Z10" s="2">
        <v>8.3500000000000005E-2</v>
      </c>
      <c r="AA10" s="2">
        <v>15.75</v>
      </c>
      <c r="AB10" s="2" t="s">
        <v>846</v>
      </c>
    </row>
    <row r="11" spans="1:28" x14ac:dyDescent="0.35">
      <c r="A11" s="24" t="s">
        <v>15</v>
      </c>
      <c r="B11" s="24">
        <v>2.7371650800000001E-2</v>
      </c>
      <c r="C11" s="24">
        <v>0.13755176299999999</v>
      </c>
      <c r="I11" s="2" t="s">
        <v>539</v>
      </c>
      <c r="J11" s="2">
        <v>0.1147547</v>
      </c>
      <c r="K11" s="2">
        <v>-5.8812359999999998E-3</v>
      </c>
      <c r="M11" s="2" t="s">
        <v>810</v>
      </c>
      <c r="N11" s="2">
        <v>0.45450000000000002</v>
      </c>
      <c r="O11" s="2">
        <v>1</v>
      </c>
    </row>
    <row r="12" spans="1:28" x14ac:dyDescent="0.35">
      <c r="A12" s="24" t="s">
        <v>15</v>
      </c>
      <c r="B12" s="24">
        <v>-1.39711382E-2</v>
      </c>
      <c r="C12" s="24">
        <v>0.19907005699999999</v>
      </c>
      <c r="I12" s="2" t="s">
        <v>540</v>
      </c>
      <c r="J12" s="2">
        <v>0.19417966</v>
      </c>
      <c r="K12" s="2">
        <v>9.0950072000000007E-2</v>
      </c>
      <c r="M12" s="2" t="s">
        <v>811</v>
      </c>
      <c r="N12" s="2">
        <v>0.2409</v>
      </c>
      <c r="O12" s="2">
        <v>0.53010000000000002</v>
      </c>
    </row>
    <row r="13" spans="1:28" x14ac:dyDescent="0.35">
      <c r="A13" s="2" t="s">
        <v>16</v>
      </c>
      <c r="B13" s="2">
        <v>0.16033583970000001</v>
      </c>
      <c r="C13" s="2">
        <v>5.8862952000000003E-2</v>
      </c>
      <c r="I13" s="2" t="s">
        <v>512</v>
      </c>
      <c r="J13" s="2">
        <v>-8.7312059999999997E-2</v>
      </c>
      <c r="K13" s="2">
        <v>-0.31463348499999999</v>
      </c>
      <c r="M13" s="2" t="s">
        <v>812</v>
      </c>
      <c r="N13" s="2">
        <v>0.21360000000000001</v>
      </c>
      <c r="O13" s="2">
        <v>0.46989999999999998</v>
      </c>
    </row>
    <row r="14" spans="1:28" x14ac:dyDescent="0.35">
      <c r="A14" s="2" t="s">
        <v>16</v>
      </c>
      <c r="B14" s="2">
        <v>0.12717305549999999</v>
      </c>
      <c r="C14" s="2">
        <v>0.10678272699999999</v>
      </c>
      <c r="I14" s="2" t="s">
        <v>542</v>
      </c>
      <c r="J14" s="2">
        <v>1.0912289500000001</v>
      </c>
      <c r="K14" s="2">
        <v>0.69893069299999999</v>
      </c>
    </row>
    <row r="15" spans="1:28" x14ac:dyDescent="0.35">
      <c r="A15" s="2" t="s">
        <v>16</v>
      </c>
      <c r="B15" s="2">
        <v>0.16962544869999999</v>
      </c>
      <c r="C15" s="2">
        <v>-0.27045274699999999</v>
      </c>
      <c r="I15" s="2" t="s">
        <v>544</v>
      </c>
      <c r="J15" s="2">
        <v>-0.82810740000000005</v>
      </c>
      <c r="K15" s="2">
        <v>1.193473403</v>
      </c>
      <c r="M15" s="1" t="s">
        <v>823</v>
      </c>
    </row>
    <row r="16" spans="1:28" x14ac:dyDescent="0.35">
      <c r="A16" s="2" t="s">
        <v>16</v>
      </c>
      <c r="B16" s="2">
        <v>-0.1859071346</v>
      </c>
      <c r="C16" s="2">
        <v>-0.51377809600000002</v>
      </c>
      <c r="I16" s="2" t="s">
        <v>515</v>
      </c>
      <c r="J16" s="2">
        <v>0.23339989999999999</v>
      </c>
      <c r="K16" s="2">
        <v>-0.18434951199999999</v>
      </c>
      <c r="N16" s="2" t="s">
        <v>780</v>
      </c>
      <c r="O16" s="2" t="s">
        <v>782</v>
      </c>
      <c r="P16" s="2" t="s">
        <v>817</v>
      </c>
      <c r="Q16" s="2" t="s">
        <v>818</v>
      </c>
      <c r="R16" s="2" t="s">
        <v>819</v>
      </c>
      <c r="S16" s="2" t="s">
        <v>820</v>
      </c>
      <c r="T16" s="2" t="s">
        <v>821</v>
      </c>
      <c r="U16" s="2" t="s">
        <v>822</v>
      </c>
    </row>
    <row r="17" spans="1:21" x14ac:dyDescent="0.35">
      <c r="A17" s="2" t="s">
        <v>16</v>
      </c>
      <c r="B17" s="2">
        <v>0.1233302367</v>
      </c>
      <c r="C17" s="2">
        <v>-0.14862014300000001</v>
      </c>
      <c r="I17" s="2" t="s">
        <v>548</v>
      </c>
      <c r="J17" s="2">
        <v>3.966045E-2</v>
      </c>
      <c r="K17" s="2">
        <v>-0.67825753600000005</v>
      </c>
      <c r="M17" s="2" t="s">
        <v>814</v>
      </c>
      <c r="N17" s="2">
        <v>0.1198</v>
      </c>
      <c r="O17" s="2">
        <v>5.8880000000000002E-2</v>
      </c>
      <c r="P17" s="2">
        <v>2.2280000000000001E-2</v>
      </c>
      <c r="Q17" s="2">
        <v>1.5129999999999999E-2</v>
      </c>
      <c r="R17" s="2">
        <v>9.7549999999999998E-3</v>
      </c>
      <c r="S17" s="2">
        <v>8.7270000000000004E-3</v>
      </c>
      <c r="T17" s="2">
        <v>3.4979999999999998E-3</v>
      </c>
      <c r="U17" s="2">
        <v>2.895E-3</v>
      </c>
    </row>
    <row r="18" spans="1:21" x14ac:dyDescent="0.35">
      <c r="A18" s="24" t="s">
        <v>17</v>
      </c>
      <c r="B18" s="24">
        <v>3.5695140399999999E-2</v>
      </c>
      <c r="C18" s="24">
        <v>0.132895451</v>
      </c>
      <c r="M18" s="2" t="s">
        <v>815</v>
      </c>
      <c r="N18" s="2">
        <v>0.26350000000000001</v>
      </c>
      <c r="O18" s="2">
        <v>0.12953000000000001</v>
      </c>
      <c r="P18" s="2">
        <v>4.9020000000000001E-2</v>
      </c>
      <c r="Q18" s="2">
        <v>3.3279999999999997E-2</v>
      </c>
      <c r="R18" s="2">
        <v>2.1461999999999998E-2</v>
      </c>
      <c r="S18" s="2">
        <v>1.9199999999999998E-2</v>
      </c>
      <c r="T18" s="2">
        <v>7.6959999999999997E-3</v>
      </c>
      <c r="U18" s="2">
        <v>6.3689999999999997E-3</v>
      </c>
    </row>
    <row r="19" spans="1:21" x14ac:dyDescent="0.35">
      <c r="A19" s="24" t="s">
        <v>17</v>
      </c>
      <c r="B19" s="24">
        <v>5.1397093800000002E-2</v>
      </c>
      <c r="C19" s="24">
        <v>0.112725595</v>
      </c>
      <c r="M19" s="2" t="s">
        <v>816</v>
      </c>
      <c r="N19" s="2">
        <v>0.26350000000000001</v>
      </c>
      <c r="O19" s="2">
        <v>0.39305000000000001</v>
      </c>
      <c r="P19" s="2">
        <v>0.44207000000000002</v>
      </c>
      <c r="Q19" s="2">
        <v>0.47534999999999999</v>
      </c>
      <c r="R19" s="2">
        <v>0.49681199999999998</v>
      </c>
      <c r="S19" s="2">
        <v>0.51601200000000003</v>
      </c>
      <c r="T19" s="2">
        <v>0.52370799999999995</v>
      </c>
      <c r="U19" s="2">
        <v>0.53007700000000002</v>
      </c>
    </row>
    <row r="20" spans="1:21" x14ac:dyDescent="0.35">
      <c r="A20" s="24" t="s">
        <v>17</v>
      </c>
      <c r="B20" s="24">
        <v>0.2724594098</v>
      </c>
      <c r="C20" s="24">
        <v>-1.5713147E-2</v>
      </c>
    </row>
    <row r="21" spans="1:21" x14ac:dyDescent="0.35">
      <c r="A21" s="24" t="s">
        <v>17</v>
      </c>
      <c r="B21" s="24">
        <v>0.24350230419999999</v>
      </c>
      <c r="C21" s="24">
        <v>-0.14322706700000001</v>
      </c>
      <c r="M21" s="77" t="s">
        <v>835</v>
      </c>
      <c r="N21" s="77"/>
      <c r="O21" s="77"/>
    </row>
    <row r="22" spans="1:21" x14ac:dyDescent="0.35">
      <c r="A22" s="24" t="s">
        <v>17</v>
      </c>
      <c r="B22" s="24">
        <v>1.60268405E-2</v>
      </c>
      <c r="C22" s="24">
        <v>-0.38387891699999999</v>
      </c>
      <c r="M22" s="2" t="s">
        <v>807</v>
      </c>
      <c r="N22" s="2" t="s">
        <v>824</v>
      </c>
      <c r="O22" s="2" t="s">
        <v>825</v>
      </c>
    </row>
    <row r="23" spans="1:21" x14ac:dyDescent="0.35">
      <c r="A23" s="2" t="s">
        <v>18</v>
      </c>
      <c r="B23" s="2">
        <v>0.1730583379</v>
      </c>
      <c r="C23" s="2">
        <v>0.117132901</v>
      </c>
      <c r="M23" s="2" t="s">
        <v>784</v>
      </c>
      <c r="N23" s="2">
        <v>0.51419999999999999</v>
      </c>
      <c r="O23" s="2" t="s">
        <v>826</v>
      </c>
    </row>
    <row r="24" spans="1:21" x14ac:dyDescent="0.35">
      <c r="A24" s="2" t="s">
        <v>18</v>
      </c>
      <c r="B24" s="2">
        <v>0.15582742320000001</v>
      </c>
      <c r="C24" s="2">
        <v>0.11228450700000001</v>
      </c>
      <c r="M24" s="2" t="s">
        <v>785</v>
      </c>
      <c r="N24" s="2">
        <v>0.24490000000000001</v>
      </c>
      <c r="O24" s="2" t="s">
        <v>827</v>
      </c>
    </row>
    <row r="25" spans="1:21" x14ac:dyDescent="0.35">
      <c r="A25" s="2" t="s">
        <v>18</v>
      </c>
      <c r="B25" s="2">
        <v>0.1756188195</v>
      </c>
      <c r="C25" s="2">
        <v>0.10620890700000001</v>
      </c>
      <c r="M25" s="2" t="s">
        <v>786</v>
      </c>
      <c r="N25" s="2">
        <v>0.29189999999999999</v>
      </c>
      <c r="O25" s="2" t="s">
        <v>828</v>
      </c>
    </row>
    <row r="26" spans="1:21" x14ac:dyDescent="0.35">
      <c r="A26" s="2" t="s">
        <v>18</v>
      </c>
      <c r="B26" s="2">
        <v>0.14002823410000001</v>
      </c>
      <c r="C26" s="2">
        <v>3.4819005E-2</v>
      </c>
      <c r="M26" s="2" t="s">
        <v>787</v>
      </c>
      <c r="N26" s="2">
        <v>0.1011</v>
      </c>
      <c r="O26" s="2">
        <v>0.32900000000000001</v>
      </c>
    </row>
    <row r="27" spans="1:21" x14ac:dyDescent="0.35">
      <c r="A27" s="2" t="s">
        <v>18</v>
      </c>
      <c r="B27" s="2">
        <v>0.28461239849999997</v>
      </c>
      <c r="C27" s="2">
        <v>3.255469E-3</v>
      </c>
      <c r="M27" s="2" t="s">
        <v>788</v>
      </c>
      <c r="N27" s="2">
        <v>0.30349999999999999</v>
      </c>
      <c r="O27" s="2" t="s">
        <v>828</v>
      </c>
    </row>
    <row r="28" spans="1:21" x14ac:dyDescent="0.35">
      <c r="M28" s="2" t="s">
        <v>789</v>
      </c>
      <c r="N28" s="2">
        <v>0.2064</v>
      </c>
      <c r="O28" s="2" t="s">
        <v>829</v>
      </c>
    </row>
    <row r="29" spans="1:21" x14ac:dyDescent="0.35">
      <c r="A29" s="1" t="s">
        <v>604</v>
      </c>
      <c r="M29" s="2" t="s">
        <v>790</v>
      </c>
      <c r="N29" s="2">
        <v>0.48320000000000002</v>
      </c>
      <c r="O29" s="2" t="s">
        <v>830</v>
      </c>
    </row>
    <row r="30" spans="1:21" x14ac:dyDescent="0.35">
      <c r="A30" s="2" t="s">
        <v>669</v>
      </c>
      <c r="M30" s="2" t="s">
        <v>791</v>
      </c>
      <c r="N30" s="2">
        <v>0.59489999999999998</v>
      </c>
      <c r="O30" s="2" t="s">
        <v>826</v>
      </c>
    </row>
    <row r="31" spans="1:21" x14ac:dyDescent="0.35">
      <c r="A31" s="2" t="s">
        <v>848</v>
      </c>
    </row>
    <row r="32" spans="1:21" x14ac:dyDescent="0.35">
      <c r="A32" s="2" t="s">
        <v>849</v>
      </c>
    </row>
    <row r="33" spans="1:1" x14ac:dyDescent="0.35">
      <c r="A33" s="2" t="s">
        <v>850</v>
      </c>
    </row>
    <row r="34" spans="1:1" x14ac:dyDescent="0.35">
      <c r="A34" s="2" t="s">
        <v>851</v>
      </c>
    </row>
    <row r="35" spans="1:1" x14ac:dyDescent="0.35">
      <c r="A35" s="2" t="s">
        <v>697</v>
      </c>
    </row>
    <row r="36" spans="1:1" x14ac:dyDescent="0.35">
      <c r="A36" s="2" t="s">
        <v>611</v>
      </c>
    </row>
    <row r="37" spans="1:1" x14ac:dyDescent="0.35">
      <c r="A37" s="2" t="s">
        <v>852</v>
      </c>
    </row>
    <row r="38" spans="1:1" x14ac:dyDescent="0.35">
      <c r="A38" s="2" t="s">
        <v>853</v>
      </c>
    </row>
    <row r="39" spans="1:1" x14ac:dyDescent="0.35">
      <c r="A39" s="2" t="s">
        <v>854</v>
      </c>
    </row>
    <row r="40" spans="1:1" x14ac:dyDescent="0.35">
      <c r="A40" s="2" t="s">
        <v>855</v>
      </c>
    </row>
    <row r="41" spans="1:1" x14ac:dyDescent="0.35">
      <c r="A41" s="2" t="s">
        <v>856</v>
      </c>
    </row>
    <row r="42" spans="1:1" x14ac:dyDescent="0.35">
      <c r="A42" s="2" t="s">
        <v>857</v>
      </c>
    </row>
    <row r="43" spans="1:1" x14ac:dyDescent="0.35">
      <c r="A43" s="2" t="s">
        <v>858</v>
      </c>
    </row>
    <row r="44" spans="1:1" x14ac:dyDescent="0.35">
      <c r="A44" s="2" t="s">
        <v>859</v>
      </c>
    </row>
    <row r="45" spans="1:1" x14ac:dyDescent="0.35">
      <c r="A45" s="2" t="s">
        <v>860</v>
      </c>
    </row>
    <row r="46" spans="1:1" x14ac:dyDescent="0.35">
      <c r="A46" s="2" t="s">
        <v>861</v>
      </c>
    </row>
    <row r="47" spans="1:1" x14ac:dyDescent="0.35">
      <c r="A47" s="2" t="s">
        <v>862</v>
      </c>
    </row>
    <row r="48" spans="1:1" x14ac:dyDescent="0.35">
      <c r="A48" s="2" t="s">
        <v>611</v>
      </c>
    </row>
    <row r="49" spans="1:1" x14ac:dyDescent="0.35">
      <c r="A49" s="2" t="s">
        <v>863</v>
      </c>
    </row>
    <row r="50" spans="1:1" x14ac:dyDescent="0.35">
      <c r="A50" s="2" t="s">
        <v>864</v>
      </c>
    </row>
  </sheetData>
  <mergeCells count="6">
    <mergeCell ref="M1:U1"/>
    <mergeCell ref="M21:O21"/>
    <mergeCell ref="W1:AB1"/>
    <mergeCell ref="A1:C1"/>
    <mergeCell ref="E1:G1"/>
    <mergeCell ref="I1:K1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66D1B-C413-4023-A633-881A49954732}">
  <dimension ref="A1:E38"/>
  <sheetViews>
    <sheetView topLeftCell="A7" workbookViewId="0">
      <selection activeCell="A34" sqref="A34"/>
    </sheetView>
  </sheetViews>
  <sheetFormatPr defaultRowHeight="14.15" x14ac:dyDescent="0.35"/>
  <cols>
    <col min="1" max="1" width="23.42578125" style="2" customWidth="1"/>
    <col min="2" max="16384" width="9.140625" style="2"/>
  </cols>
  <sheetData>
    <row r="1" spans="1:5" x14ac:dyDescent="0.35">
      <c r="A1" s="43" t="s">
        <v>1097</v>
      </c>
    </row>
    <row r="2" spans="1:5" x14ac:dyDescent="0.35">
      <c r="B2" s="2" t="s">
        <v>1067</v>
      </c>
      <c r="C2" s="2" t="s">
        <v>1068</v>
      </c>
      <c r="D2" s="2" t="s">
        <v>1069</v>
      </c>
      <c r="E2" s="2" t="s">
        <v>1070</v>
      </c>
    </row>
    <row r="3" spans="1:5" x14ac:dyDescent="0.35">
      <c r="A3" s="2" t="s">
        <v>1066</v>
      </c>
      <c r="B3" s="2">
        <v>3</v>
      </c>
      <c r="C3" s="2">
        <v>0.27273471815678701</v>
      </c>
      <c r="D3" s="2">
        <v>0.16883967789347001</v>
      </c>
      <c r="E3" s="2" t="b">
        <v>1</v>
      </c>
    </row>
    <row r="4" spans="1:5" x14ac:dyDescent="0.35">
      <c r="A4" s="2" t="s">
        <v>1071</v>
      </c>
      <c r="B4" s="2">
        <v>2</v>
      </c>
      <c r="C4" s="2">
        <v>0.18766754226368099</v>
      </c>
      <c r="D4" s="2">
        <v>0.11381913701492501</v>
      </c>
      <c r="E4" s="2" t="b">
        <v>1</v>
      </c>
    </row>
    <row r="5" spans="1:5" x14ac:dyDescent="0.35">
      <c r="A5" s="2" t="s">
        <v>1072</v>
      </c>
      <c r="B5" s="2">
        <v>1</v>
      </c>
      <c r="C5" s="2">
        <v>0.169086906578191</v>
      </c>
      <c r="D5" s="2">
        <v>0.13296025034246001</v>
      </c>
      <c r="E5" s="2" t="b">
        <v>1</v>
      </c>
    </row>
    <row r="6" spans="1:5" x14ac:dyDescent="0.35">
      <c r="A6" s="2" t="s">
        <v>1073</v>
      </c>
      <c r="B6" s="2">
        <v>5</v>
      </c>
      <c r="C6" s="2">
        <v>0.37999319614225202</v>
      </c>
      <c r="D6" s="2">
        <v>0.216833510916528</v>
      </c>
      <c r="E6" s="2" t="b">
        <v>1</v>
      </c>
    </row>
    <row r="7" spans="1:5" x14ac:dyDescent="0.35">
      <c r="A7" s="2" t="s">
        <v>1074</v>
      </c>
      <c r="B7" s="2">
        <v>4</v>
      </c>
      <c r="C7" s="2">
        <v>0.33934411001717102</v>
      </c>
      <c r="D7" s="2">
        <v>0.20721293202060501</v>
      </c>
      <c r="E7" s="2" t="b">
        <v>1</v>
      </c>
    </row>
    <row r="8" spans="1:5" x14ac:dyDescent="0.35">
      <c r="A8" s="2" t="s">
        <v>1075</v>
      </c>
      <c r="B8" s="2">
        <v>3</v>
      </c>
      <c r="C8" s="2">
        <v>0.32161822269726698</v>
      </c>
      <c r="D8" s="2">
        <v>0.224706540225448</v>
      </c>
      <c r="E8" s="2" t="b">
        <v>1</v>
      </c>
    </row>
    <row r="9" spans="1:5" x14ac:dyDescent="0.35">
      <c r="A9" s="2" t="s">
        <v>1076</v>
      </c>
      <c r="B9" s="2">
        <v>6</v>
      </c>
      <c r="C9" s="2">
        <v>0.477072258966174</v>
      </c>
      <c r="D9" s="2">
        <v>0.30276301195489802</v>
      </c>
      <c r="E9" s="2" t="b">
        <v>1</v>
      </c>
    </row>
    <row r="10" spans="1:5" x14ac:dyDescent="0.35">
      <c r="A10" s="43" t="s">
        <v>1092</v>
      </c>
    </row>
    <row r="11" spans="1:5" x14ac:dyDescent="0.35">
      <c r="A11" s="2" t="s">
        <v>1077</v>
      </c>
      <c r="B11" s="2">
        <v>3</v>
      </c>
      <c r="C11" s="2" t="s">
        <v>1078</v>
      </c>
      <c r="D11" s="2">
        <v>7.80564717294496E-2</v>
      </c>
      <c r="E11" s="2" t="b">
        <v>1</v>
      </c>
    </row>
    <row r="12" spans="1:5" x14ac:dyDescent="0.35">
      <c r="A12" s="2" t="s">
        <v>1079</v>
      </c>
      <c r="B12" s="2">
        <v>2</v>
      </c>
      <c r="C12" s="2" t="s">
        <v>1078</v>
      </c>
      <c r="D12" s="2">
        <v>9.5550079934292903E-2</v>
      </c>
      <c r="E12" s="2" t="b">
        <v>1</v>
      </c>
    </row>
    <row r="13" spans="1:5" x14ac:dyDescent="0.35">
      <c r="A13" s="2" t="s">
        <v>1080</v>
      </c>
      <c r="B13" s="2">
        <v>1</v>
      </c>
      <c r="C13" s="2" t="s">
        <v>1078</v>
      </c>
      <c r="D13" s="2">
        <v>8.5929501038369702E-2</v>
      </c>
      <c r="E13" s="2" t="b">
        <v>1</v>
      </c>
    </row>
    <row r="14" spans="1:5" x14ac:dyDescent="0.35">
      <c r="A14" s="2" t="s">
        <v>1081</v>
      </c>
      <c r="B14" s="2">
        <v>0</v>
      </c>
      <c r="C14" s="2" t="s">
        <v>1078</v>
      </c>
      <c r="D14" s="2">
        <v>-3.8037900513047101E-3</v>
      </c>
      <c r="E14" s="2" t="b">
        <v>0</v>
      </c>
    </row>
    <row r="15" spans="1:5" x14ac:dyDescent="0.35">
      <c r="A15" s="2" t="s">
        <v>1082</v>
      </c>
      <c r="B15" s="2">
        <v>0</v>
      </c>
      <c r="C15" s="2" t="s">
        <v>1078</v>
      </c>
      <c r="D15" s="2">
        <v>-4.7556246911234903E-2</v>
      </c>
      <c r="E15" s="2" t="b">
        <v>0</v>
      </c>
    </row>
    <row r="16" spans="1:5" x14ac:dyDescent="0.35">
      <c r="A16" s="2" t="s">
        <v>1083</v>
      </c>
      <c r="B16" s="2">
        <v>0</v>
      </c>
      <c r="C16" s="2" t="s">
        <v>1078</v>
      </c>
      <c r="D16" s="2">
        <v>2.4957902172154E-2</v>
      </c>
      <c r="E16" s="2" t="b">
        <v>0</v>
      </c>
    </row>
    <row r="17" spans="1:5" x14ac:dyDescent="0.35">
      <c r="A17" s="2" t="s">
        <v>1084</v>
      </c>
      <c r="B17" s="2">
        <v>0</v>
      </c>
      <c r="C17" s="2" t="s">
        <v>1078</v>
      </c>
      <c r="D17" s="2">
        <v>6.9629094043171497E-2</v>
      </c>
      <c r="E17" s="2" t="b">
        <v>0</v>
      </c>
    </row>
    <row r="18" spans="1:5" x14ac:dyDescent="0.35">
      <c r="A18" s="2" t="s">
        <v>1085</v>
      </c>
      <c r="B18" s="2" t="s">
        <v>1078</v>
      </c>
      <c r="C18" s="2" t="s">
        <v>1078</v>
      </c>
      <c r="D18" s="2">
        <v>0.69723698804510204</v>
      </c>
      <c r="E18" s="2" t="b">
        <v>0</v>
      </c>
    </row>
    <row r="19" spans="1:5" x14ac:dyDescent="0.35">
      <c r="A19" s="43" t="s">
        <v>1098</v>
      </c>
    </row>
    <row r="20" spans="1:5" x14ac:dyDescent="0.35">
      <c r="A20" s="2" t="s">
        <v>1086</v>
      </c>
      <c r="B20" s="2">
        <v>3</v>
      </c>
      <c r="C20" s="2" t="s">
        <v>1078</v>
      </c>
      <c r="D20" s="2">
        <v>7.4252681678144902E-2</v>
      </c>
      <c r="E20" s="2" t="b">
        <v>1</v>
      </c>
    </row>
    <row r="21" spans="1:5" x14ac:dyDescent="0.35">
      <c r="A21" s="2" t="s">
        <v>1087</v>
      </c>
      <c r="B21" s="2">
        <v>3</v>
      </c>
      <c r="C21" s="2" t="s">
        <v>1078</v>
      </c>
      <c r="D21" s="2">
        <v>0.10301437390160401</v>
      </c>
      <c r="E21" s="2" t="b">
        <v>1</v>
      </c>
    </row>
    <row r="22" spans="1:5" x14ac:dyDescent="0.35">
      <c r="A22" s="2" t="s">
        <v>1088</v>
      </c>
      <c r="B22" s="2">
        <v>2</v>
      </c>
      <c r="C22" s="2" t="s">
        <v>1078</v>
      </c>
      <c r="D22" s="2">
        <v>9.1746289882988205E-2</v>
      </c>
      <c r="E22" s="2" t="b">
        <v>1</v>
      </c>
    </row>
    <row r="23" spans="1:5" x14ac:dyDescent="0.35">
      <c r="A23" s="2" t="s">
        <v>1089</v>
      </c>
      <c r="B23" s="2">
        <v>2</v>
      </c>
      <c r="C23" s="2" t="s">
        <v>1078</v>
      </c>
      <c r="D23" s="2">
        <v>4.7993833023057902E-2</v>
      </c>
      <c r="E23" s="2" t="b">
        <v>1</v>
      </c>
    </row>
    <row r="24" spans="1:5" x14ac:dyDescent="0.35">
      <c r="A24" s="2" t="s">
        <v>1090</v>
      </c>
      <c r="B24" s="2">
        <v>1</v>
      </c>
      <c r="C24" s="2" t="s">
        <v>1078</v>
      </c>
      <c r="D24" s="2">
        <v>3.8373254127134798E-2</v>
      </c>
      <c r="E24" s="2" t="b">
        <v>1</v>
      </c>
    </row>
    <row r="25" spans="1:5" x14ac:dyDescent="0.35">
      <c r="A25" s="2" t="s">
        <v>1091</v>
      </c>
      <c r="B25" s="2">
        <v>1</v>
      </c>
      <c r="C25" s="2" t="s">
        <v>1078</v>
      </c>
      <c r="D25" s="2">
        <v>0.110887403210524</v>
      </c>
      <c r="E25" s="2" t="b">
        <v>1</v>
      </c>
    </row>
    <row r="26" spans="1:5" x14ac:dyDescent="0.35">
      <c r="A26" s="43" t="s">
        <v>1093</v>
      </c>
    </row>
    <row r="27" spans="1:5" x14ac:dyDescent="0.35">
      <c r="A27" s="43" t="s">
        <v>1094</v>
      </c>
    </row>
    <row r="28" spans="1:5" x14ac:dyDescent="0.35">
      <c r="A28" s="43" t="s">
        <v>1095</v>
      </c>
    </row>
    <row r="29" spans="1:5" x14ac:dyDescent="0.35">
      <c r="A29" s="43" t="s">
        <v>1096</v>
      </c>
    </row>
    <row r="31" spans="1:5" x14ac:dyDescent="0.35">
      <c r="A31" s="1" t="s">
        <v>604</v>
      </c>
    </row>
    <row r="32" spans="1:5" x14ac:dyDescent="0.35">
      <c r="A32" s="2" t="s">
        <v>1061</v>
      </c>
    </row>
    <row r="33" spans="1:1" x14ac:dyDescent="0.35">
      <c r="A33" s="2" t="s">
        <v>1062</v>
      </c>
    </row>
    <row r="34" spans="1:1" x14ac:dyDescent="0.35">
      <c r="A34" s="2" t="s">
        <v>1100</v>
      </c>
    </row>
    <row r="35" spans="1:1" x14ac:dyDescent="0.35">
      <c r="A35" s="2" t="s">
        <v>1099</v>
      </c>
    </row>
    <row r="36" spans="1:1" x14ac:dyDescent="0.35">
      <c r="A36" s="2" t="s">
        <v>1063</v>
      </c>
    </row>
    <row r="37" spans="1:1" x14ac:dyDescent="0.35">
      <c r="A37" s="2" t="s">
        <v>1064</v>
      </c>
    </row>
    <row r="38" spans="1:1" x14ac:dyDescent="0.35">
      <c r="A38" s="2" t="s">
        <v>1065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16</vt:i4>
      </vt:variant>
      <vt:variant>
        <vt:lpstr>命名范围</vt:lpstr>
      </vt:variant>
      <vt:variant>
        <vt:i4>6</vt:i4>
      </vt:variant>
    </vt:vector>
  </HeadingPairs>
  <TitlesOfParts>
    <vt:vector size="22" baseType="lpstr">
      <vt:lpstr>1. Tufa moss data</vt:lpstr>
      <vt:lpstr>2. Variables data</vt:lpstr>
      <vt:lpstr>3. Data description</vt:lpstr>
      <vt:lpstr>4. PCA result</vt:lpstr>
      <vt:lpstr>5. Figures 2a-s and Figure 4a</vt:lpstr>
      <vt:lpstr>6. Figure 3a_common species</vt:lpstr>
      <vt:lpstr>7. Figure 3b_indval species</vt:lpstr>
      <vt:lpstr>8. Figure 3c_shared species</vt:lpstr>
      <vt:lpstr>9. Figure 4b-c and Figure 5 </vt:lpstr>
      <vt:lpstr>10. Figure 6_SEM</vt:lpstr>
      <vt:lpstr>11. Figure 7a_NMDS</vt:lpstr>
      <vt:lpstr>12. Figure 7b_beta partition</vt:lpstr>
      <vt:lpstr>13. Figure7c-d_distance</vt:lpstr>
      <vt:lpstr>14. Figure 8a_Mantel test</vt:lpstr>
      <vt:lpstr>15. Figure 8b_RDA</vt:lpstr>
      <vt:lpstr>16. Figure 8c_VPA</vt:lpstr>
      <vt:lpstr>'3. Data description'!_Hlk172972830</vt:lpstr>
      <vt:lpstr>'3. Data description'!_Hlk172972908</vt:lpstr>
      <vt:lpstr>'3. Data description'!_Hlk172972917</vt:lpstr>
      <vt:lpstr>'3. Data description'!_Hlk172972925</vt:lpstr>
      <vt:lpstr>'3. Data description'!_Hlk172972934</vt:lpstr>
      <vt:lpstr>'3. Data description'!OLE_LINK20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weiq</dc:creator>
  <cp:lastModifiedBy>猫咪 小</cp:lastModifiedBy>
  <dcterms:created xsi:type="dcterms:W3CDTF">2015-06-05T18:19:34Z</dcterms:created>
  <dcterms:modified xsi:type="dcterms:W3CDTF">2025-06-10T14:31:27Z</dcterms:modified>
</cp:coreProperties>
</file>